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G:\Client\999\Planning\2022年\策划组\龟妹\小感&amp;小咳&amp;其他-21-22年H1 数据\SOS\"/>
    </mc:Choice>
  </mc:AlternateContent>
  <xr:revisionPtr revIDLastSave="0" documentId="13_ncr:1_{E47B0EC2-1843-4479-BA46-2F62821D0B7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21H1" sheetId="2" r:id="rId1"/>
    <sheet name="21H2" sheetId="5" r:id="rId2"/>
    <sheet name="22H1" sheetId="6" r:id="rId3"/>
    <sheet name="数据来源&amp;时间" sheetId="7" r:id="rId4"/>
  </sheets>
  <definedNames>
    <definedName name="_xlnm.Print_Titles" localSheetId="0">'21H1'!$1:$5</definedName>
    <definedName name="_xlnm.Print_Titles" localSheetId="1">'21H2'!$1:$5</definedName>
    <definedName name="_xlnm.Print_Titles" localSheetId="2">'22H1'!$1:$5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2" l="1"/>
  <c r="F7" i="2"/>
  <c r="I8" i="5" l="1"/>
  <c r="F7" i="6"/>
  <c r="F8" i="6"/>
  <c r="F9" i="6"/>
  <c r="F10" i="6"/>
  <c r="F11" i="6"/>
  <c r="F12" i="6"/>
  <c r="F13" i="6"/>
  <c r="F14" i="6"/>
  <c r="L6" i="6"/>
  <c r="I7" i="5"/>
  <c r="I9" i="5"/>
  <c r="I10" i="5"/>
  <c r="I11" i="5"/>
  <c r="I12" i="5"/>
  <c r="I13" i="5"/>
  <c r="I14" i="5"/>
  <c r="I15" i="5"/>
  <c r="F7" i="5"/>
  <c r="F8" i="5"/>
  <c r="F9" i="5"/>
  <c r="F10" i="5"/>
  <c r="F11" i="5"/>
  <c r="F12" i="5"/>
  <c r="F13" i="5"/>
  <c r="F14" i="5"/>
  <c r="F15" i="5"/>
  <c r="L6" i="5"/>
  <c r="I6" i="5"/>
  <c r="F6" i="5"/>
  <c r="I7" i="2"/>
  <c r="I8" i="2"/>
  <c r="I9" i="2"/>
  <c r="I10" i="2"/>
  <c r="I11" i="2"/>
  <c r="I12" i="2"/>
  <c r="I13" i="2"/>
  <c r="I14" i="2"/>
  <c r="I15" i="2"/>
  <c r="I16" i="2"/>
  <c r="F9" i="2"/>
  <c r="F10" i="2"/>
  <c r="F11" i="2"/>
  <c r="F12" i="2"/>
  <c r="F13" i="2"/>
  <c r="F14" i="2"/>
  <c r="F15" i="2"/>
  <c r="F16" i="2"/>
  <c r="I6" i="2"/>
  <c r="F6" i="2"/>
  <c r="I6" i="6"/>
  <c r="F6" i="6"/>
</calcChain>
</file>

<file path=xl/sharedStrings.xml><?xml version="1.0" encoding="utf-8"?>
<sst xmlns="http://schemas.openxmlformats.org/spreadsheetml/2006/main" count="120" uniqueCount="48">
  <si>
    <t>排名</t>
  </si>
  <si>
    <t>市场</t>
  </si>
  <si>
    <t>产品</t>
  </si>
  <si>
    <t>%</t>
  </si>
  <si>
    <t>品类总花费        （万元）</t>
    <phoneticPr fontId="2" type="noConversion"/>
  </si>
  <si>
    <t>花费 （万元）</t>
    <phoneticPr fontId="2" type="noConversion"/>
  </si>
  <si>
    <t>安徽省</t>
  </si>
  <si>
    <t>广东省</t>
  </si>
  <si>
    <t>河北省</t>
  </si>
  <si>
    <t>吉林省</t>
  </si>
  <si>
    <t>江苏省</t>
  </si>
  <si>
    <t>辽宁省</t>
  </si>
  <si>
    <t>山东省</t>
  </si>
  <si>
    <t>陕西省</t>
  </si>
  <si>
    <t>云南省</t>
  </si>
  <si>
    <t>重庆市</t>
  </si>
  <si>
    <t>各市场投放量产品排名</t>
    <phoneticPr fontId="2" type="noConversion"/>
  </si>
  <si>
    <t>2021H1</t>
    <phoneticPr fontId="2" type="noConversion"/>
  </si>
  <si>
    <t>全国性</t>
    <phoneticPr fontId="2" type="noConversion"/>
  </si>
  <si>
    <t>浙江省</t>
  </si>
  <si>
    <t>小快克</t>
    <phoneticPr fontId="2" type="noConversion"/>
  </si>
  <si>
    <t>优卡丹</t>
  </si>
  <si>
    <t>优卡丹</t>
    <phoneticPr fontId="2" type="noConversion"/>
  </si>
  <si>
    <t>2021H2</t>
    <phoneticPr fontId="2" type="noConversion"/>
  </si>
  <si>
    <t>2022H1</t>
    <phoneticPr fontId="2" type="noConversion"/>
  </si>
  <si>
    <t>第一</t>
    <phoneticPr fontId="2" type="noConversion"/>
  </si>
  <si>
    <t>第二</t>
    <phoneticPr fontId="2" type="noConversion"/>
  </si>
  <si>
    <t>河南省</t>
  </si>
  <si>
    <t>福建省</t>
  </si>
  <si>
    <t>湖南省</t>
  </si>
  <si>
    <t>上海市</t>
  </si>
  <si>
    <t>北京市</t>
  </si>
  <si>
    <t>四川省</t>
  </si>
  <si>
    <t>第三</t>
    <phoneticPr fontId="2" type="noConversion"/>
  </si>
  <si>
    <t>999小儿感冒药</t>
    <phoneticPr fontId="2" type="noConversion"/>
  </si>
  <si>
    <t>广东省</t>
    <phoneticPr fontId="2" type="noConversion"/>
  </si>
  <si>
    <t>江苏省</t>
    <phoneticPr fontId="2" type="noConversion"/>
  </si>
  <si>
    <t>河南省</t>
    <phoneticPr fontId="2" type="noConversion"/>
  </si>
  <si>
    <t>福建省</t>
    <phoneticPr fontId="2" type="noConversion"/>
  </si>
  <si>
    <t>上海市</t>
    <phoneticPr fontId="2" type="noConversion"/>
  </si>
  <si>
    <t>安徽省</t>
    <phoneticPr fontId="2" type="noConversion"/>
  </si>
  <si>
    <t>浙江省</t>
    <phoneticPr fontId="2" type="noConversion"/>
  </si>
  <si>
    <t>北京市</t>
    <phoneticPr fontId="2" type="noConversion"/>
  </si>
  <si>
    <t>1、数据时间&amp;来源：</t>
  </si>
  <si>
    <t>【电视/电台/报纸/杂志】-CTR-2021.01.01-2022.05.31；【户外】-中天星河&amp;媒体-2021.01.01-2022.04.30；【网络】2021.01.01-2022.06.26</t>
  </si>
  <si>
    <t>2、以下产品无硬广监测数据：</t>
  </si>
  <si>
    <t>【小儿感冒】护彤、葵花康宝/小儿氨酚烷胺颗粒、葵花小儿感冒颗粒、葵花小儿柴桂退热颗粒；</t>
  </si>
  <si>
    <t>【小儿止咳】葵花小儿化痰止咳颗粒、葵花小儿清肺化痰口服液、小葵花肺热咳喘颗粒、葵花小儿咳喘灵颗粒、葵花小儿咳喘灵口服液、葵花小儿止咳糖浆、葵花小儿百部止咳糖浆、小葵花复方小儿退热栓、葵花小儿清热止咳口服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</si>
</sst>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 "/>
    <numFmt numFmtId="177" formatCode=";;;"/>
    <numFmt numFmtId="178" formatCode="0.0"/>
    <numFmt numFmtId="179" formatCode="#,##0_);[Red]\(#,##0\)"/>
    <numFmt numFmtId="180" formatCode="#,##0.0_);[Red]\(#,##0.0\)"/>
  </numFmts>
  <fonts count="11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黑体"/>
      <family val="3"/>
      <charset val="134"/>
    </font>
    <font>
      <sz val="10"/>
      <color theme="1"/>
      <name val="黑体"/>
      <family val="3"/>
      <charset val="134"/>
    </font>
    <font>
      <sz val="12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2"/>
      <color indexed="9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6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3">
    <xf numFmtId="0" fontId="0" fillId="0" borderId="0" xfId="0"/>
    <xf numFmtId="49" fontId="3" fillId="0" borderId="0" xfId="1" applyNumberFormat="1" applyFont="1" applyAlignment="1">
      <alignment horizontal="center" vertical="center" wrapText="1"/>
    </xf>
    <xf numFmtId="176" fontId="4" fillId="0" borderId="0" xfId="1" applyNumberFormat="1" applyFont="1" applyAlignment="1">
      <alignment horizontal="center" vertical="center" wrapText="1"/>
    </xf>
    <xf numFmtId="49" fontId="5" fillId="0" borderId="0" xfId="1" applyNumberFormat="1" applyFont="1" applyAlignment="1">
      <alignment horizontal="center" vertical="center" wrapText="1"/>
    </xf>
    <xf numFmtId="9" fontId="5" fillId="0" borderId="0" xfId="1" applyNumberFormat="1" applyFont="1" applyAlignment="1">
      <alignment horizontal="center" vertical="center" wrapText="1"/>
    </xf>
    <xf numFmtId="176" fontId="6" fillId="0" borderId="0" xfId="1" applyNumberFormat="1" applyFont="1" applyAlignment="1">
      <alignment horizontal="center" vertical="center" wrapText="1"/>
    </xf>
    <xf numFmtId="9" fontId="6" fillId="0" borderId="0" xfId="1" applyNumberFormat="1" applyFont="1" applyAlignment="1">
      <alignment horizontal="center" vertical="center" wrapText="1"/>
    </xf>
    <xf numFmtId="177" fontId="6" fillId="0" borderId="0" xfId="1" applyNumberFormat="1" applyFont="1" applyAlignment="1">
      <alignment horizontal="center" vertical="center" wrapText="1"/>
    </xf>
    <xf numFmtId="49" fontId="7" fillId="2" borderId="2" xfId="1" applyNumberFormat="1" applyFont="1" applyFill="1" applyBorder="1" applyAlignment="1">
      <alignment horizontal="center" vertical="center" wrapText="1"/>
    </xf>
    <xf numFmtId="176" fontId="5" fillId="0" borderId="3" xfId="1" applyNumberFormat="1" applyFont="1" applyBorder="1" applyAlignment="1">
      <alignment horizontal="center" vertical="center" wrapText="1"/>
    </xf>
    <xf numFmtId="9" fontId="5" fillId="3" borderId="3" xfId="1" applyNumberFormat="1" applyFont="1" applyFill="1" applyBorder="1" applyAlignment="1">
      <alignment horizontal="center" vertical="center" wrapText="1"/>
    </xf>
    <xf numFmtId="176" fontId="5" fillId="3" borderId="3" xfId="1" applyNumberFormat="1" applyFont="1" applyFill="1" applyBorder="1" applyAlignment="1">
      <alignment horizontal="center" vertical="center" wrapText="1"/>
    </xf>
    <xf numFmtId="1" fontId="5" fillId="3" borderId="3" xfId="1" applyNumberFormat="1" applyFont="1" applyFill="1" applyBorder="1" applyAlignment="1">
      <alignment horizontal="center" vertical="center" wrapText="1"/>
    </xf>
    <xf numFmtId="176" fontId="5" fillId="0" borderId="2" xfId="1" applyNumberFormat="1" applyFont="1" applyBorder="1" applyAlignment="1">
      <alignment horizontal="center" vertical="center" wrapText="1"/>
    </xf>
    <xf numFmtId="49" fontId="7" fillId="2" borderId="1" xfId="1" applyNumberFormat="1" applyFont="1" applyFill="1" applyBorder="1" applyAlignment="1">
      <alignment horizontal="center" vertical="center" wrapText="1"/>
    </xf>
    <xf numFmtId="9" fontId="7" fillId="2" borderId="2" xfId="1" applyNumberFormat="1" applyFont="1" applyFill="1" applyBorder="1" applyAlignment="1">
      <alignment horizontal="center" vertical="center" wrapText="1"/>
    </xf>
    <xf numFmtId="1" fontId="5" fillId="0" borderId="0" xfId="0" applyNumberFormat="1" applyFont="1" applyAlignment="1">
      <alignment horizontal="center"/>
    </xf>
    <xf numFmtId="9" fontId="5" fillId="3" borderId="2" xfId="1" applyNumberFormat="1" applyFont="1" applyFill="1" applyBorder="1" applyAlignment="1">
      <alignment horizontal="center" vertical="center" wrapText="1"/>
    </xf>
    <xf numFmtId="1" fontId="5" fillId="0" borderId="7" xfId="0" applyNumberFormat="1" applyFont="1" applyBorder="1" applyAlignment="1">
      <alignment horizontal="center"/>
    </xf>
    <xf numFmtId="176" fontId="5" fillId="3" borderId="2" xfId="1" applyNumberFormat="1" applyFont="1" applyFill="1" applyBorder="1" applyAlignment="1">
      <alignment horizontal="center" vertical="center" wrapText="1"/>
    </xf>
    <xf numFmtId="1" fontId="5" fillId="3" borderId="2" xfId="1" applyNumberFormat="1" applyFont="1" applyFill="1" applyBorder="1" applyAlignment="1">
      <alignment horizontal="center" vertical="center" wrapText="1"/>
    </xf>
    <xf numFmtId="176" fontId="9" fillId="0" borderId="0" xfId="1" applyNumberFormat="1" applyFont="1" applyAlignment="1">
      <alignment horizontal="left" vertical="top"/>
    </xf>
    <xf numFmtId="178" fontId="5" fillId="3" borderId="3" xfId="1" applyNumberFormat="1" applyFont="1" applyFill="1" applyBorder="1" applyAlignment="1">
      <alignment horizontal="center" vertical="center" wrapText="1"/>
    </xf>
    <xf numFmtId="178" fontId="5" fillId="3" borderId="2" xfId="1" applyNumberFormat="1" applyFont="1" applyFill="1" applyBorder="1" applyAlignment="1">
      <alignment horizontal="center" vertical="center" wrapText="1"/>
    </xf>
    <xf numFmtId="1" fontId="5" fillId="0" borderId="0" xfId="0" applyNumberFormat="1" applyFont="1" applyBorder="1" applyAlignment="1">
      <alignment horizontal="center"/>
    </xf>
    <xf numFmtId="176" fontId="6" fillId="0" borderId="0" xfId="1" applyNumberFormat="1" applyFont="1" applyBorder="1" applyAlignment="1">
      <alignment horizontal="center" vertical="center" wrapText="1"/>
    </xf>
    <xf numFmtId="9" fontId="6" fillId="0" borderId="0" xfId="1" applyNumberFormat="1" applyFont="1" applyBorder="1" applyAlignment="1">
      <alignment horizontal="center" vertical="center" wrapText="1"/>
    </xf>
    <xf numFmtId="179" fontId="5" fillId="0" borderId="0" xfId="0" applyNumberFormat="1" applyFont="1" applyAlignment="1">
      <alignment horizontal="center"/>
    </xf>
    <xf numFmtId="180" fontId="5" fillId="0" borderId="0" xfId="0" applyNumberFormat="1" applyFont="1" applyAlignment="1">
      <alignment horizontal="center"/>
    </xf>
    <xf numFmtId="180" fontId="5" fillId="0" borderId="7" xfId="0" applyNumberFormat="1" applyFont="1" applyBorder="1" applyAlignment="1">
      <alignment horizontal="center"/>
    </xf>
    <xf numFmtId="176" fontId="5" fillId="0" borderId="0" xfId="0" applyNumberFormat="1" applyFont="1" applyAlignment="1">
      <alignment horizontal="center"/>
    </xf>
    <xf numFmtId="176" fontId="5" fillId="0" borderId="1" xfId="1" applyNumberFormat="1" applyFont="1" applyBorder="1" applyAlignment="1">
      <alignment horizontal="center" vertical="center" wrapText="1"/>
    </xf>
    <xf numFmtId="9" fontId="5" fillId="3" borderId="1" xfId="1" applyNumberFormat="1" applyFont="1" applyFill="1" applyBorder="1" applyAlignment="1">
      <alignment horizontal="center" vertical="center" wrapText="1"/>
    </xf>
    <xf numFmtId="1" fontId="5" fillId="0" borderId="8" xfId="0" applyNumberFormat="1" applyFont="1" applyBorder="1" applyAlignment="1">
      <alignment horizontal="center"/>
    </xf>
    <xf numFmtId="176" fontId="5" fillId="3" borderId="1" xfId="1" applyNumberFormat="1" applyFont="1" applyFill="1" applyBorder="1" applyAlignment="1">
      <alignment horizontal="center" vertical="center" wrapText="1"/>
    </xf>
    <xf numFmtId="176" fontId="4" fillId="0" borderId="0" xfId="1" applyNumberFormat="1" applyFont="1" applyBorder="1" applyAlignment="1">
      <alignment horizontal="center" vertical="center" wrapText="1"/>
    </xf>
    <xf numFmtId="9" fontId="6" fillId="0" borderId="7" xfId="1" applyNumberFormat="1" applyFont="1" applyBorder="1" applyAlignment="1">
      <alignment horizontal="center" vertical="center" wrapText="1"/>
    </xf>
    <xf numFmtId="9" fontId="5" fillId="3" borderId="9" xfId="1" applyNumberFormat="1" applyFont="1" applyFill="1" applyBorder="1" applyAlignment="1">
      <alignment horizontal="center" vertical="center" wrapText="1"/>
    </xf>
    <xf numFmtId="176" fontId="4" fillId="0" borderId="3" xfId="1" applyNumberFormat="1" applyFont="1" applyBorder="1" applyAlignment="1">
      <alignment horizontal="center" vertical="center" wrapText="1"/>
    </xf>
    <xf numFmtId="176" fontId="6" fillId="0" borderId="3" xfId="1" applyNumberFormat="1" applyFont="1" applyBorder="1" applyAlignment="1">
      <alignment horizontal="center" vertical="center" wrapText="1"/>
    </xf>
    <xf numFmtId="176" fontId="6" fillId="0" borderId="2" xfId="1" applyNumberFormat="1" applyFont="1" applyBorder="1" applyAlignment="1">
      <alignment horizontal="center" vertical="center" wrapText="1"/>
    </xf>
    <xf numFmtId="176" fontId="5" fillId="0" borderId="8" xfId="0" applyNumberFormat="1" applyFont="1" applyBorder="1" applyAlignment="1">
      <alignment horizontal="center"/>
    </xf>
    <xf numFmtId="176" fontId="5" fillId="0" borderId="0" xfId="0" applyNumberFormat="1" applyFont="1" applyBorder="1" applyAlignment="1">
      <alignment horizontal="center"/>
    </xf>
    <xf numFmtId="176" fontId="5" fillId="0" borderId="1" xfId="0" applyNumberFormat="1" applyFont="1" applyBorder="1" applyAlignment="1">
      <alignment horizontal="center"/>
    </xf>
    <xf numFmtId="49" fontId="7" fillId="2" borderId="4" xfId="1" applyNumberFormat="1" applyFont="1" applyFill="1" applyBorder="1" applyAlignment="1">
      <alignment horizontal="center" vertical="center" wrapText="1"/>
    </xf>
    <xf numFmtId="49" fontId="7" fillId="2" borderId="6" xfId="1" applyNumberFormat="1" applyFont="1" applyFill="1" applyBorder="1" applyAlignment="1">
      <alignment horizontal="center" vertical="center" wrapText="1"/>
    </xf>
    <xf numFmtId="49" fontId="7" fillId="2" borderId="5" xfId="1" applyNumberFormat="1" applyFont="1" applyFill="1" applyBorder="1" applyAlignment="1">
      <alignment horizontal="center" vertical="center" wrapText="1"/>
    </xf>
    <xf numFmtId="49" fontId="7" fillId="2" borderId="1" xfId="1" applyNumberFormat="1" applyFont="1" applyFill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49" fontId="7" fillId="2" borderId="0" xfId="1" applyNumberFormat="1" applyFont="1" applyFill="1" applyAlignment="1">
      <alignment horizontal="center" vertical="center" wrapText="1"/>
    </xf>
    <xf numFmtId="0" fontId="10" fillId="3" borderId="0" xfId="0" applyFont="1" applyFill="1"/>
    <xf numFmtId="0" fontId="8" fillId="3" borderId="0" xfId="0" applyFont="1" applyFill="1"/>
    <xf numFmtId="0" fontId="0" fillId="3" borderId="0" xfId="0" applyFill="1"/>
  </cellXfs>
  <cellStyles count="2">
    <cellStyle name="常规" xfId="0" builtinId="0"/>
    <cellStyle name="常规 2" xfId="1" xr:uid="{0C69811B-0A00-4C58-9740-B549A737EB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2009B-7F44-4107-964D-AE10558A29CB}">
  <sheetPr>
    <pageSetUpPr fitToPage="1"/>
  </sheetPr>
  <dimension ref="A1:I18"/>
  <sheetViews>
    <sheetView showGridLines="0" showZeros="0" tabSelected="1" zoomScale="80" zoomScaleNormal="80" workbookViewId="0">
      <selection activeCell="C36" sqref="C36"/>
    </sheetView>
  </sheetViews>
  <sheetFormatPr defaultColWidth="12.625" defaultRowHeight="16.5" x14ac:dyDescent="0.2"/>
  <cols>
    <col min="1" max="1" width="7.25" style="5" customWidth="1"/>
    <col min="2" max="2" width="14.875" style="5" bestFit="1" customWidth="1"/>
    <col min="3" max="3" width="13" style="5" customWidth="1"/>
    <col min="4" max="4" width="17.5" style="5" customWidth="1"/>
    <col min="5" max="5" width="9" style="5" customWidth="1"/>
    <col min="6" max="6" width="8.5" style="6" customWidth="1"/>
    <col min="7" max="7" width="12.625" style="5"/>
    <col min="8" max="8" width="9" style="5" customWidth="1"/>
    <col min="9" max="9" width="8.5" style="6" customWidth="1"/>
    <col min="10" max="16384" width="12.625" style="2"/>
  </cols>
  <sheetData>
    <row r="1" spans="1:9" s="1" customFormat="1" ht="24.75" customHeight="1" x14ac:dyDescent="0.2">
      <c r="A1" s="49" t="s">
        <v>16</v>
      </c>
      <c r="B1" s="49"/>
      <c r="C1" s="49"/>
      <c r="D1" s="49"/>
      <c r="E1" s="49"/>
      <c r="F1" s="49"/>
      <c r="G1" s="49"/>
      <c r="H1" s="49"/>
      <c r="I1" s="49"/>
    </row>
    <row r="2" spans="1:9" s="1" customFormat="1" ht="17.25" x14ac:dyDescent="0.2">
      <c r="A2" s="3"/>
      <c r="B2" s="3"/>
      <c r="C2" s="3"/>
      <c r="D2" s="3"/>
      <c r="E2" s="3"/>
      <c r="F2" s="4"/>
      <c r="G2" s="3"/>
      <c r="H2" s="3"/>
      <c r="I2" s="4"/>
    </row>
    <row r="3" spans="1:9" s="1" customFormat="1" ht="18" thickBot="1" x14ac:dyDescent="0.25">
      <c r="A3" s="3"/>
      <c r="B3" s="3"/>
      <c r="C3" s="3"/>
      <c r="D3" s="3"/>
      <c r="E3" s="3"/>
      <c r="F3" s="4"/>
      <c r="G3" s="3"/>
      <c r="H3" s="3"/>
      <c r="I3" s="4"/>
    </row>
    <row r="4" spans="1:9" s="1" customFormat="1" ht="18.75" thickBot="1" x14ac:dyDescent="0.25">
      <c r="A4" s="47" t="s">
        <v>0</v>
      </c>
      <c r="B4" s="47" t="s">
        <v>1</v>
      </c>
      <c r="C4" s="14" t="s">
        <v>17</v>
      </c>
      <c r="D4" s="44" t="s">
        <v>25</v>
      </c>
      <c r="E4" s="45"/>
      <c r="F4" s="46"/>
      <c r="G4" s="44" t="s">
        <v>26</v>
      </c>
      <c r="H4" s="45"/>
      <c r="I4" s="46"/>
    </row>
    <row r="5" spans="1:9" s="1" customFormat="1" ht="36.75" thickBot="1" x14ac:dyDescent="0.25">
      <c r="A5" s="48"/>
      <c r="B5" s="48"/>
      <c r="C5" s="8" t="s">
        <v>4</v>
      </c>
      <c r="D5" s="8" t="s">
        <v>2</v>
      </c>
      <c r="E5" s="8" t="s">
        <v>5</v>
      </c>
      <c r="F5" s="15" t="s">
        <v>3</v>
      </c>
      <c r="G5" s="8" t="s">
        <v>2</v>
      </c>
      <c r="H5" s="8" t="s">
        <v>5</v>
      </c>
      <c r="I5" s="15" t="s">
        <v>3</v>
      </c>
    </row>
    <row r="6" spans="1:9" ht="17.25" x14ac:dyDescent="0.3">
      <c r="A6" s="9"/>
      <c r="B6" s="10" t="s">
        <v>18</v>
      </c>
      <c r="C6" s="27">
        <v>4542.8145999999906</v>
      </c>
      <c r="D6" s="11" t="s">
        <v>34</v>
      </c>
      <c r="E6" s="30">
        <v>3503.7899999999918</v>
      </c>
      <c r="F6" s="10">
        <f>E6/C6</f>
        <v>0.77128175118570741</v>
      </c>
      <c r="G6" s="11" t="s">
        <v>20</v>
      </c>
      <c r="H6" s="30">
        <v>1039.0245999999993</v>
      </c>
      <c r="I6" s="10">
        <f>H6/C6</f>
        <v>0.22871824881429267</v>
      </c>
    </row>
    <row r="7" spans="1:9" ht="17.25" x14ac:dyDescent="0.3">
      <c r="A7" s="9">
        <v>1</v>
      </c>
      <c r="B7" s="10" t="s">
        <v>10</v>
      </c>
      <c r="C7" s="27">
        <v>52.320099999999996</v>
      </c>
      <c r="D7" s="11" t="s">
        <v>20</v>
      </c>
      <c r="E7" s="11">
        <v>52.320099999999996</v>
      </c>
      <c r="F7" s="10">
        <f>E7/C7</f>
        <v>1</v>
      </c>
      <c r="G7" s="11"/>
      <c r="H7" s="12"/>
      <c r="I7" s="10">
        <f t="shared" ref="I7:I16" si="0">H7/C7</f>
        <v>0</v>
      </c>
    </row>
    <row r="8" spans="1:9" ht="17.25" x14ac:dyDescent="0.3">
      <c r="A8" s="9">
        <v>2</v>
      </c>
      <c r="B8" s="10" t="s">
        <v>9</v>
      </c>
      <c r="C8" s="27">
        <v>38.015599999999999</v>
      </c>
      <c r="D8" s="11" t="s">
        <v>20</v>
      </c>
      <c r="E8" s="11">
        <v>38.015599999999999</v>
      </c>
      <c r="F8" s="10">
        <f>E8/C8</f>
        <v>1</v>
      </c>
      <c r="G8" s="11"/>
      <c r="H8" s="12"/>
      <c r="I8" s="10">
        <f t="shared" si="0"/>
        <v>0</v>
      </c>
    </row>
    <row r="9" spans="1:9" ht="17.25" x14ac:dyDescent="0.3">
      <c r="A9" s="9">
        <v>3</v>
      </c>
      <c r="B9" s="10" t="s">
        <v>13</v>
      </c>
      <c r="C9" s="27">
        <v>29.344000000000001</v>
      </c>
      <c r="D9" s="11" t="s">
        <v>20</v>
      </c>
      <c r="E9" s="11">
        <v>29.344000000000001</v>
      </c>
      <c r="F9" s="10">
        <f t="shared" ref="F7:F16" si="1">E9/C9</f>
        <v>1</v>
      </c>
      <c r="G9" s="11"/>
      <c r="H9" s="12"/>
      <c r="I9" s="10">
        <f t="shared" si="0"/>
        <v>0</v>
      </c>
    </row>
    <row r="10" spans="1:9" ht="17.25" x14ac:dyDescent="0.3">
      <c r="A10" s="9">
        <v>4</v>
      </c>
      <c r="B10" s="10" t="s">
        <v>15</v>
      </c>
      <c r="C10" s="27">
        <v>26.175799999999999</v>
      </c>
      <c r="D10" s="11" t="s">
        <v>20</v>
      </c>
      <c r="E10" s="12">
        <v>26.175799999999999</v>
      </c>
      <c r="F10" s="10">
        <f t="shared" si="1"/>
        <v>1</v>
      </c>
      <c r="G10" s="11"/>
      <c r="H10" s="12"/>
      <c r="I10" s="10">
        <f t="shared" si="0"/>
        <v>0</v>
      </c>
    </row>
    <row r="11" spans="1:9" ht="17.25" x14ac:dyDescent="0.3">
      <c r="A11" s="9">
        <v>5</v>
      </c>
      <c r="B11" s="10" t="s">
        <v>12</v>
      </c>
      <c r="C11" s="27">
        <v>25.6326</v>
      </c>
      <c r="D11" s="11" t="s">
        <v>20</v>
      </c>
      <c r="E11" s="12">
        <v>25.6326</v>
      </c>
      <c r="F11" s="10">
        <f t="shared" si="1"/>
        <v>1</v>
      </c>
      <c r="G11" s="11"/>
      <c r="H11" s="12"/>
      <c r="I11" s="10">
        <f t="shared" si="0"/>
        <v>0</v>
      </c>
    </row>
    <row r="12" spans="1:9" ht="17.25" x14ac:dyDescent="0.3">
      <c r="A12" s="9">
        <v>6</v>
      </c>
      <c r="B12" s="10" t="s">
        <v>11</v>
      </c>
      <c r="C12" s="27">
        <v>19.3599</v>
      </c>
      <c r="D12" s="11" t="s">
        <v>20</v>
      </c>
      <c r="E12" s="12">
        <v>19.3599</v>
      </c>
      <c r="F12" s="10">
        <f t="shared" si="1"/>
        <v>1</v>
      </c>
      <c r="G12" s="11"/>
      <c r="H12" s="12"/>
      <c r="I12" s="10">
        <f t="shared" si="0"/>
        <v>0</v>
      </c>
    </row>
    <row r="13" spans="1:9" ht="17.25" x14ac:dyDescent="0.3">
      <c r="A13" s="9">
        <v>7</v>
      </c>
      <c r="B13" s="10" t="s">
        <v>8</v>
      </c>
      <c r="C13" s="27">
        <v>11.327400000000001</v>
      </c>
      <c r="D13" s="11" t="s">
        <v>20</v>
      </c>
      <c r="E13" s="12">
        <v>11.327400000000001</v>
      </c>
      <c r="F13" s="10">
        <f t="shared" si="1"/>
        <v>1</v>
      </c>
      <c r="G13" s="11"/>
      <c r="H13" s="12"/>
      <c r="I13" s="10">
        <f t="shared" si="0"/>
        <v>0</v>
      </c>
    </row>
    <row r="14" spans="1:9" ht="17.25" x14ac:dyDescent="0.3">
      <c r="A14" s="9">
        <v>8</v>
      </c>
      <c r="B14" s="10" t="s">
        <v>14</v>
      </c>
      <c r="C14" s="27">
        <v>7.5137999999999998</v>
      </c>
      <c r="D14" s="11" t="s">
        <v>20</v>
      </c>
      <c r="E14" s="12">
        <v>7.5137999999999998</v>
      </c>
      <c r="F14" s="10">
        <f t="shared" si="1"/>
        <v>1</v>
      </c>
      <c r="G14" s="11"/>
      <c r="H14" s="12"/>
      <c r="I14" s="10">
        <f t="shared" si="0"/>
        <v>0</v>
      </c>
    </row>
    <row r="15" spans="1:9" ht="17.25" x14ac:dyDescent="0.3">
      <c r="A15" s="9">
        <v>9</v>
      </c>
      <c r="B15" s="10" t="s">
        <v>7</v>
      </c>
      <c r="C15" s="28">
        <v>0.36</v>
      </c>
      <c r="D15" s="11" t="s">
        <v>34</v>
      </c>
      <c r="E15" s="22">
        <v>0.36</v>
      </c>
      <c r="F15" s="10">
        <f t="shared" si="1"/>
        <v>1</v>
      </c>
      <c r="G15" s="11"/>
      <c r="H15" s="12"/>
      <c r="I15" s="10">
        <f t="shared" si="0"/>
        <v>0</v>
      </c>
    </row>
    <row r="16" spans="1:9" ht="18" thickBot="1" x14ac:dyDescent="0.35">
      <c r="A16" s="13">
        <v>10</v>
      </c>
      <c r="B16" s="17" t="s">
        <v>32</v>
      </c>
      <c r="C16" s="29">
        <v>0.1072</v>
      </c>
      <c r="D16" s="19" t="s">
        <v>34</v>
      </c>
      <c r="E16" s="23">
        <v>0.1072</v>
      </c>
      <c r="F16" s="17">
        <f t="shared" si="1"/>
        <v>1</v>
      </c>
      <c r="G16" s="19"/>
      <c r="H16" s="20"/>
      <c r="I16" s="17">
        <f t="shared" si="0"/>
        <v>0</v>
      </c>
    </row>
    <row r="18" spans="1:1" x14ac:dyDescent="0.2">
      <c r="A18" s="21"/>
    </row>
  </sheetData>
  <mergeCells count="5">
    <mergeCell ref="D4:F4"/>
    <mergeCell ref="A4:A5"/>
    <mergeCell ref="B4:B5"/>
    <mergeCell ref="G4:I4"/>
    <mergeCell ref="A1:I1"/>
  </mergeCells>
  <phoneticPr fontId="2" type="noConversion"/>
  <printOptions horizontalCentered="1"/>
  <pageMargins left="0.59055118110236215" right="0.59055118110236215" top="0.59055118110236215" bottom="0.59055118110236215" header="0.3" footer="0.3"/>
  <pageSetup paperSize="9" scale="64" fitToHeight="100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CF49-F8E2-483B-B95B-B14C904E77FB}">
  <sheetPr>
    <pageSetUpPr fitToPage="1"/>
  </sheetPr>
  <dimension ref="A1:L17"/>
  <sheetViews>
    <sheetView showGridLines="0" showZeros="0" zoomScale="80" zoomScaleNormal="80" workbookViewId="0">
      <selection activeCell="C7" sqref="C7"/>
    </sheetView>
  </sheetViews>
  <sheetFormatPr defaultColWidth="12.625" defaultRowHeight="16.5" x14ac:dyDescent="0.2"/>
  <cols>
    <col min="1" max="1" width="7.25" style="5" customWidth="1"/>
    <col min="2" max="2" width="14.875" style="5" bestFit="1" customWidth="1"/>
    <col min="3" max="3" width="13" style="5" customWidth="1"/>
    <col min="4" max="4" width="16.125" style="5" customWidth="1"/>
    <col min="5" max="5" width="9" style="5" customWidth="1"/>
    <col min="6" max="6" width="8.5" style="6" customWidth="1"/>
    <col min="7" max="7" width="17" style="5" customWidth="1"/>
    <col min="8" max="8" width="9" style="5" customWidth="1"/>
    <col min="9" max="9" width="8.625" style="6" customWidth="1"/>
    <col min="10" max="10" width="12.625" style="5"/>
    <col min="11" max="11" width="9" style="5" customWidth="1"/>
    <col min="12" max="12" width="12.5" style="6" customWidth="1"/>
    <col min="13" max="16384" width="12.625" style="2"/>
  </cols>
  <sheetData>
    <row r="1" spans="1:12" s="1" customFormat="1" ht="24.75" customHeight="1" x14ac:dyDescent="0.2">
      <c r="A1" s="49" t="s">
        <v>16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s="1" customFormat="1" ht="17.25" x14ac:dyDescent="0.2">
      <c r="A2" s="3"/>
      <c r="B2" s="3"/>
      <c r="C2" s="3"/>
      <c r="D2" s="3"/>
      <c r="E2" s="3"/>
      <c r="F2" s="4"/>
      <c r="G2" s="3"/>
      <c r="H2" s="3"/>
      <c r="I2" s="4"/>
      <c r="J2" s="3"/>
      <c r="K2" s="3"/>
      <c r="L2" s="4"/>
    </row>
    <row r="3" spans="1:12" s="1" customFormat="1" ht="18" thickBot="1" x14ac:dyDescent="0.25">
      <c r="A3" s="3"/>
      <c r="B3" s="3"/>
      <c r="C3" s="3"/>
      <c r="D3" s="3"/>
      <c r="E3" s="3"/>
      <c r="F3" s="4"/>
      <c r="G3" s="3"/>
      <c r="H3" s="3"/>
      <c r="I3" s="4"/>
      <c r="J3" s="3"/>
      <c r="K3" s="3"/>
      <c r="L3" s="4"/>
    </row>
    <row r="4" spans="1:12" s="1" customFormat="1" ht="18.75" thickBot="1" x14ac:dyDescent="0.25">
      <c r="A4" s="47" t="s">
        <v>0</v>
      </c>
      <c r="B4" s="47" t="s">
        <v>1</v>
      </c>
      <c r="C4" s="14" t="s">
        <v>23</v>
      </c>
      <c r="D4" s="44" t="s">
        <v>25</v>
      </c>
      <c r="E4" s="45"/>
      <c r="F4" s="46"/>
      <c r="G4" s="44" t="s">
        <v>26</v>
      </c>
      <c r="H4" s="45"/>
      <c r="I4" s="46"/>
      <c r="J4" s="44" t="s">
        <v>33</v>
      </c>
      <c r="K4" s="45"/>
      <c r="L4" s="46"/>
    </row>
    <row r="5" spans="1:12" s="1" customFormat="1" ht="36.75" thickBot="1" x14ac:dyDescent="0.25">
      <c r="A5" s="48"/>
      <c r="B5" s="48"/>
      <c r="C5" s="8" t="s">
        <v>4</v>
      </c>
      <c r="D5" s="8" t="s">
        <v>2</v>
      </c>
      <c r="E5" s="8" t="s">
        <v>5</v>
      </c>
      <c r="F5" s="15" t="s">
        <v>3</v>
      </c>
      <c r="G5" s="8" t="s">
        <v>2</v>
      </c>
      <c r="H5" s="8" t="s">
        <v>5</v>
      </c>
      <c r="I5" s="15" t="s">
        <v>3</v>
      </c>
      <c r="J5" s="8" t="s">
        <v>2</v>
      </c>
      <c r="K5" s="8" t="s">
        <v>5</v>
      </c>
      <c r="L5" s="15" t="s">
        <v>3</v>
      </c>
    </row>
    <row r="6" spans="1:12" ht="17.25" x14ac:dyDescent="0.3">
      <c r="A6" s="9"/>
      <c r="B6" s="10" t="s">
        <v>18</v>
      </c>
      <c r="C6" s="30">
        <v>2078.4909999999982</v>
      </c>
      <c r="D6" s="11" t="s">
        <v>34</v>
      </c>
      <c r="E6" s="30">
        <v>907.31000000000006</v>
      </c>
      <c r="F6" s="10">
        <f>E6/C6</f>
        <v>0.43652342011584405</v>
      </c>
      <c r="G6" s="11" t="s">
        <v>20</v>
      </c>
      <c r="H6" s="30">
        <v>733.21099999999785</v>
      </c>
      <c r="I6" s="10">
        <f>H6/C6</f>
        <v>0.35276120993547649</v>
      </c>
      <c r="J6" s="11" t="s">
        <v>21</v>
      </c>
      <c r="K6" s="16">
        <v>437.97000000000048</v>
      </c>
      <c r="L6" s="10">
        <f>K6/C6</f>
        <v>0.21071536994867954</v>
      </c>
    </row>
    <row r="7" spans="1:12" ht="17.25" x14ac:dyDescent="0.3">
      <c r="A7" s="9">
        <v>1</v>
      </c>
      <c r="B7" s="10" t="s">
        <v>19</v>
      </c>
      <c r="C7" s="30">
        <v>1537.2100000000014</v>
      </c>
      <c r="D7" s="11" t="s">
        <v>34</v>
      </c>
      <c r="E7" s="11">
        <v>1489.9600000000014</v>
      </c>
      <c r="F7" s="10">
        <f t="shared" ref="F7:F15" si="0">E7/C7</f>
        <v>0.96926249503971484</v>
      </c>
      <c r="G7" s="11" t="s">
        <v>22</v>
      </c>
      <c r="H7" s="11">
        <v>47.25</v>
      </c>
      <c r="I7" s="10">
        <f t="shared" ref="I7:I15" si="1">H7/C7</f>
        <v>3.0737504960285163E-2</v>
      </c>
      <c r="J7" s="11"/>
      <c r="K7" s="12"/>
      <c r="L7" s="10"/>
    </row>
    <row r="8" spans="1:12" ht="17.25" x14ac:dyDescent="0.3">
      <c r="A8" s="9">
        <v>2</v>
      </c>
      <c r="B8" s="10" t="s">
        <v>6</v>
      </c>
      <c r="C8" s="30">
        <v>526.29999999999973</v>
      </c>
      <c r="D8" s="11" t="s">
        <v>22</v>
      </c>
      <c r="E8" s="11">
        <v>281.19999999999982</v>
      </c>
      <c r="F8" s="10">
        <f t="shared" si="0"/>
        <v>0.53429602888086636</v>
      </c>
      <c r="G8" s="11" t="s">
        <v>34</v>
      </c>
      <c r="H8" s="11">
        <v>245.09999999999988</v>
      </c>
      <c r="I8" s="10">
        <f>H8/C8</f>
        <v>0.46570397111913359</v>
      </c>
      <c r="J8" s="11"/>
      <c r="K8" s="12"/>
      <c r="L8" s="10"/>
    </row>
    <row r="9" spans="1:12" ht="17.25" x14ac:dyDescent="0.3">
      <c r="A9" s="9">
        <v>3</v>
      </c>
      <c r="B9" s="10" t="s">
        <v>29</v>
      </c>
      <c r="C9" s="30">
        <v>486.70000000000016</v>
      </c>
      <c r="D9" s="11" t="s">
        <v>34</v>
      </c>
      <c r="E9" s="11">
        <v>486.70000000000016</v>
      </c>
      <c r="F9" s="10">
        <f t="shared" si="0"/>
        <v>1</v>
      </c>
      <c r="H9" s="12"/>
      <c r="I9" s="10">
        <f t="shared" si="1"/>
        <v>0</v>
      </c>
      <c r="J9" s="11"/>
      <c r="K9" s="12"/>
      <c r="L9" s="10"/>
    </row>
    <row r="10" spans="1:12" ht="17.25" x14ac:dyDescent="0.3">
      <c r="A10" s="9">
        <v>4</v>
      </c>
      <c r="B10" s="10" t="s">
        <v>7</v>
      </c>
      <c r="C10" s="30">
        <v>260.7999999999999</v>
      </c>
      <c r="D10" s="11" t="s">
        <v>22</v>
      </c>
      <c r="E10" s="11">
        <v>221.59999999999988</v>
      </c>
      <c r="F10" s="10">
        <f t="shared" si="0"/>
        <v>0.8496932515337422</v>
      </c>
      <c r="G10" s="11" t="s">
        <v>34</v>
      </c>
      <c r="H10" s="12">
        <v>39.199999999999996</v>
      </c>
      <c r="I10" s="10">
        <f t="shared" si="1"/>
        <v>0.15030674846625772</v>
      </c>
      <c r="J10" s="11"/>
      <c r="K10" s="12"/>
      <c r="L10" s="10"/>
    </row>
    <row r="11" spans="1:12" ht="17.25" x14ac:dyDescent="0.3">
      <c r="A11" s="9">
        <v>5</v>
      </c>
      <c r="B11" s="10" t="s">
        <v>27</v>
      </c>
      <c r="C11" s="30">
        <v>257.59999999999991</v>
      </c>
      <c r="D11" s="11" t="s">
        <v>34</v>
      </c>
      <c r="E11" s="11">
        <v>257.59999999999991</v>
      </c>
      <c r="F11" s="10">
        <f t="shared" si="0"/>
        <v>1</v>
      </c>
      <c r="H11" s="12"/>
      <c r="I11" s="10">
        <f t="shared" si="1"/>
        <v>0</v>
      </c>
      <c r="J11" s="11"/>
      <c r="K11" s="12"/>
      <c r="L11" s="10"/>
    </row>
    <row r="12" spans="1:12" ht="17.25" x14ac:dyDescent="0.3">
      <c r="A12" s="9">
        <v>6</v>
      </c>
      <c r="B12" s="10" t="s">
        <v>28</v>
      </c>
      <c r="C12" s="30">
        <v>193.68999999999991</v>
      </c>
      <c r="D12" s="11" t="s">
        <v>34</v>
      </c>
      <c r="E12" s="11">
        <v>193.68999999999991</v>
      </c>
      <c r="F12" s="10">
        <f t="shared" si="0"/>
        <v>1</v>
      </c>
      <c r="H12" s="12"/>
      <c r="I12" s="10">
        <f t="shared" si="1"/>
        <v>0</v>
      </c>
      <c r="J12" s="11"/>
      <c r="K12" s="12"/>
      <c r="L12" s="10"/>
    </row>
    <row r="13" spans="1:12" ht="17.25" x14ac:dyDescent="0.3">
      <c r="A13" s="9">
        <v>7</v>
      </c>
      <c r="B13" s="10" t="s">
        <v>10</v>
      </c>
      <c r="C13" s="30">
        <v>21.150000000000002</v>
      </c>
      <c r="D13" s="11" t="s">
        <v>34</v>
      </c>
      <c r="E13" s="11">
        <v>21.150000000000002</v>
      </c>
      <c r="F13" s="10">
        <f t="shared" si="0"/>
        <v>1</v>
      </c>
      <c r="H13" s="12"/>
      <c r="I13" s="10">
        <f t="shared" si="1"/>
        <v>0</v>
      </c>
      <c r="J13" s="11"/>
      <c r="K13" s="12"/>
      <c r="L13" s="10"/>
    </row>
    <row r="14" spans="1:12" ht="17.25" x14ac:dyDescent="0.3">
      <c r="A14" s="9">
        <v>8</v>
      </c>
      <c r="B14" s="10" t="s">
        <v>31</v>
      </c>
      <c r="C14" s="24">
        <v>20.399999999999995</v>
      </c>
      <c r="D14" s="11" t="s">
        <v>34</v>
      </c>
      <c r="E14" s="11">
        <v>20.399999999999995</v>
      </c>
      <c r="F14" s="10">
        <f t="shared" si="0"/>
        <v>1</v>
      </c>
      <c r="G14" s="25"/>
      <c r="H14" s="12"/>
      <c r="I14" s="10">
        <f t="shared" si="1"/>
        <v>0</v>
      </c>
      <c r="J14" s="11"/>
      <c r="K14" s="12"/>
      <c r="L14" s="10"/>
    </row>
    <row r="15" spans="1:12" ht="18" thickBot="1" x14ac:dyDescent="0.35">
      <c r="A15" s="13">
        <v>9</v>
      </c>
      <c r="B15" s="17" t="s">
        <v>30</v>
      </c>
      <c r="C15" s="18">
        <v>19.2</v>
      </c>
      <c r="D15" s="19" t="s">
        <v>34</v>
      </c>
      <c r="E15" s="20">
        <v>19.2</v>
      </c>
      <c r="F15" s="17">
        <f t="shared" si="0"/>
        <v>1</v>
      </c>
      <c r="G15" s="19"/>
      <c r="H15" s="20"/>
      <c r="I15" s="17">
        <f t="shared" si="1"/>
        <v>0</v>
      </c>
      <c r="J15" s="19"/>
      <c r="K15" s="20"/>
      <c r="L15" s="17"/>
    </row>
    <row r="16" spans="1:12" x14ac:dyDescent="0.2">
      <c r="A16" s="7"/>
    </row>
    <row r="17" spans="1:1" x14ac:dyDescent="0.2">
      <c r="A17" s="21"/>
    </row>
  </sheetData>
  <mergeCells count="6">
    <mergeCell ref="J4:L4"/>
    <mergeCell ref="A4:A5"/>
    <mergeCell ref="B4:B5"/>
    <mergeCell ref="D4:F4"/>
    <mergeCell ref="G4:I4"/>
    <mergeCell ref="A1:L1"/>
  </mergeCells>
  <phoneticPr fontId="2" type="noConversion"/>
  <printOptions horizontalCentered="1"/>
  <pageMargins left="0.59055118110236215" right="0.59055118110236215" top="0.59055118110236215" bottom="0.59055118110236215" header="0.3" footer="0.3"/>
  <pageSetup paperSize="9" scale="64" fitToHeight="100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7C6C6-502B-4DC4-A2C2-109F5D942A7D}">
  <sheetPr>
    <pageSetUpPr fitToPage="1"/>
  </sheetPr>
  <dimension ref="A1:L16"/>
  <sheetViews>
    <sheetView showGridLines="0" showZeros="0" zoomScale="80" zoomScaleNormal="80" workbookViewId="0">
      <selection activeCell="F20" sqref="F20"/>
    </sheetView>
  </sheetViews>
  <sheetFormatPr defaultColWidth="12.625" defaultRowHeight="16.5" x14ac:dyDescent="0.2"/>
  <cols>
    <col min="1" max="1" width="7.25" style="5" customWidth="1"/>
    <col min="2" max="2" width="14.875" style="5" bestFit="1" customWidth="1"/>
    <col min="3" max="3" width="13" style="5" customWidth="1"/>
    <col min="4" max="4" width="16.5" style="5" customWidth="1"/>
    <col min="5" max="5" width="9" style="5" customWidth="1"/>
    <col min="6" max="6" width="8.5" style="6" customWidth="1"/>
    <col min="7" max="7" width="12.625" style="5"/>
    <col min="8" max="8" width="9" style="5" customWidth="1"/>
    <col min="9" max="9" width="8.625" style="6" customWidth="1"/>
    <col min="10" max="10" width="12.625" style="5"/>
    <col min="11" max="11" width="9" style="5" customWidth="1"/>
    <col min="12" max="12" width="12.5" style="6" customWidth="1"/>
    <col min="13" max="16384" width="12.625" style="2"/>
  </cols>
  <sheetData>
    <row r="1" spans="1:12" s="1" customFormat="1" ht="24.75" customHeight="1" x14ac:dyDescent="0.2">
      <c r="A1" s="49" t="s">
        <v>16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s="1" customFormat="1" ht="17.25" x14ac:dyDescent="0.2">
      <c r="A2" s="3"/>
      <c r="B2" s="3"/>
      <c r="C2" s="3"/>
      <c r="D2" s="3"/>
      <c r="E2" s="3"/>
      <c r="F2" s="4"/>
      <c r="G2" s="3"/>
      <c r="H2" s="3"/>
      <c r="I2" s="4"/>
      <c r="J2" s="3"/>
      <c r="K2" s="3"/>
      <c r="L2" s="4"/>
    </row>
    <row r="3" spans="1:12" s="1" customFormat="1" ht="18" thickBot="1" x14ac:dyDescent="0.25">
      <c r="A3" s="3"/>
      <c r="B3" s="3"/>
      <c r="C3" s="3"/>
      <c r="D3" s="3"/>
      <c r="E3" s="3"/>
      <c r="F3" s="4"/>
      <c r="G3" s="3"/>
      <c r="H3" s="3"/>
      <c r="I3" s="4"/>
      <c r="J3" s="3"/>
      <c r="K3" s="3"/>
      <c r="L3" s="4"/>
    </row>
    <row r="4" spans="1:12" s="1" customFormat="1" ht="18.75" thickBot="1" x14ac:dyDescent="0.25">
      <c r="A4" s="47" t="s">
        <v>0</v>
      </c>
      <c r="B4" s="47" t="s">
        <v>1</v>
      </c>
      <c r="C4" s="14" t="s">
        <v>24</v>
      </c>
      <c r="D4" s="44" t="s">
        <v>25</v>
      </c>
      <c r="E4" s="45"/>
      <c r="F4" s="46"/>
      <c r="G4" s="44" t="s">
        <v>26</v>
      </c>
      <c r="H4" s="45"/>
      <c r="I4" s="46"/>
      <c r="J4" s="44" t="s">
        <v>33</v>
      </c>
      <c r="K4" s="45"/>
      <c r="L4" s="46"/>
    </row>
    <row r="5" spans="1:12" s="1" customFormat="1" ht="36.75" thickBot="1" x14ac:dyDescent="0.25">
      <c r="A5" s="48"/>
      <c r="B5" s="48"/>
      <c r="C5" s="8" t="s">
        <v>4</v>
      </c>
      <c r="D5" s="8" t="s">
        <v>2</v>
      </c>
      <c r="E5" s="8" t="s">
        <v>5</v>
      </c>
      <c r="F5" s="15" t="s">
        <v>3</v>
      </c>
      <c r="G5" s="8" t="s">
        <v>2</v>
      </c>
      <c r="H5" s="8" t="s">
        <v>5</v>
      </c>
      <c r="I5" s="15" t="s">
        <v>3</v>
      </c>
      <c r="J5" s="8" t="s">
        <v>2</v>
      </c>
      <c r="K5" s="8" t="s">
        <v>5</v>
      </c>
      <c r="L5" s="15" t="s">
        <v>3</v>
      </c>
    </row>
    <row r="6" spans="1:12" ht="17.25" x14ac:dyDescent="0.3">
      <c r="A6" s="31"/>
      <c r="B6" s="32" t="s">
        <v>18</v>
      </c>
      <c r="C6" s="41">
        <v>2049.1565000000001</v>
      </c>
      <c r="D6" s="34" t="s">
        <v>34</v>
      </c>
      <c r="E6" s="41">
        <v>1504.2299999999998</v>
      </c>
      <c r="F6" s="32">
        <f>E6/C6</f>
        <v>0.73407277579823682</v>
      </c>
      <c r="G6" s="34" t="s">
        <v>20</v>
      </c>
      <c r="H6" s="43">
        <v>466.14</v>
      </c>
      <c r="I6" s="37">
        <f>H6/C6</f>
        <v>0.22747896512540647</v>
      </c>
      <c r="J6" s="34" t="s">
        <v>22</v>
      </c>
      <c r="K6" s="33">
        <v>78.786499999999975</v>
      </c>
      <c r="L6" s="32">
        <f>K6/C6</f>
        <v>3.8448259076356524E-2</v>
      </c>
    </row>
    <row r="7" spans="1:12" ht="17.25" x14ac:dyDescent="0.3">
      <c r="A7" s="9">
        <v>1</v>
      </c>
      <c r="B7" s="10" t="s">
        <v>35</v>
      </c>
      <c r="C7" s="42">
        <v>854.57000000000062</v>
      </c>
      <c r="D7" s="11" t="s">
        <v>34</v>
      </c>
      <c r="E7" s="42">
        <v>854.57000000000062</v>
      </c>
      <c r="F7" s="10">
        <f t="shared" ref="F7:F14" si="0">E7/C7</f>
        <v>1</v>
      </c>
      <c r="G7" s="11"/>
      <c r="H7" s="38"/>
      <c r="I7" s="35"/>
      <c r="J7" s="11"/>
      <c r="K7" s="12"/>
      <c r="L7" s="10"/>
    </row>
    <row r="8" spans="1:12" ht="17.25" x14ac:dyDescent="0.3">
      <c r="A8" s="9">
        <v>2</v>
      </c>
      <c r="B8" s="10" t="s">
        <v>36</v>
      </c>
      <c r="C8" s="42">
        <v>801.3499999999998</v>
      </c>
      <c r="D8" s="11" t="s">
        <v>34</v>
      </c>
      <c r="E8" s="42">
        <v>801.3499999999998</v>
      </c>
      <c r="F8" s="10">
        <f t="shared" si="0"/>
        <v>1</v>
      </c>
      <c r="G8" s="11"/>
      <c r="H8" s="38"/>
      <c r="I8" s="35"/>
      <c r="J8" s="11"/>
      <c r="K8" s="12"/>
      <c r="L8" s="10"/>
    </row>
    <row r="9" spans="1:12" ht="17.25" x14ac:dyDescent="0.3">
      <c r="A9" s="9">
        <v>3</v>
      </c>
      <c r="B9" s="10" t="s">
        <v>37</v>
      </c>
      <c r="C9" s="42">
        <v>544.8000000000003</v>
      </c>
      <c r="D9" s="11" t="s">
        <v>34</v>
      </c>
      <c r="E9" s="42">
        <v>544.8000000000003</v>
      </c>
      <c r="F9" s="10">
        <f t="shared" si="0"/>
        <v>1</v>
      </c>
      <c r="G9" s="11"/>
      <c r="H9" s="38"/>
      <c r="I9" s="35"/>
      <c r="J9" s="11"/>
      <c r="K9" s="12"/>
      <c r="L9" s="10"/>
    </row>
    <row r="10" spans="1:12" ht="17.25" x14ac:dyDescent="0.3">
      <c r="A10" s="9">
        <v>4</v>
      </c>
      <c r="B10" s="10" t="s">
        <v>38</v>
      </c>
      <c r="C10" s="42">
        <v>427.66999999999962</v>
      </c>
      <c r="D10" s="11" t="s">
        <v>34</v>
      </c>
      <c r="E10" s="42">
        <v>427.66999999999962</v>
      </c>
      <c r="F10" s="10">
        <f t="shared" si="0"/>
        <v>1</v>
      </c>
      <c r="G10" s="11"/>
      <c r="H10" s="39"/>
      <c r="I10" s="26"/>
      <c r="J10" s="11"/>
      <c r="K10" s="12"/>
      <c r="L10" s="10"/>
    </row>
    <row r="11" spans="1:12" ht="17.25" x14ac:dyDescent="0.3">
      <c r="A11" s="9">
        <v>5</v>
      </c>
      <c r="B11" s="10" t="s">
        <v>39</v>
      </c>
      <c r="C11" s="42">
        <v>355.60000000000025</v>
      </c>
      <c r="D11" s="11" t="s">
        <v>34</v>
      </c>
      <c r="E11" s="42">
        <v>355.60000000000025</v>
      </c>
      <c r="F11" s="10">
        <f t="shared" si="0"/>
        <v>1</v>
      </c>
      <c r="G11" s="11"/>
      <c r="H11" s="39"/>
      <c r="I11" s="26"/>
      <c r="J11" s="11"/>
      <c r="K11" s="12"/>
      <c r="L11" s="10"/>
    </row>
    <row r="12" spans="1:12" ht="17.25" x14ac:dyDescent="0.3">
      <c r="A12" s="9">
        <v>6</v>
      </c>
      <c r="B12" s="10" t="s">
        <v>40</v>
      </c>
      <c r="C12" s="42">
        <v>319.73999999999972</v>
      </c>
      <c r="D12" s="11" t="s">
        <v>34</v>
      </c>
      <c r="E12" s="24">
        <v>319.73999999999972</v>
      </c>
      <c r="F12" s="10">
        <f t="shared" si="0"/>
        <v>1</v>
      </c>
      <c r="G12" s="11"/>
      <c r="H12" s="39"/>
      <c r="I12" s="26"/>
      <c r="J12" s="11"/>
      <c r="K12" s="12"/>
      <c r="L12" s="10"/>
    </row>
    <row r="13" spans="1:12" ht="17.25" x14ac:dyDescent="0.3">
      <c r="A13" s="9">
        <v>7</v>
      </c>
      <c r="B13" s="10" t="s">
        <v>41</v>
      </c>
      <c r="C13" s="24">
        <v>239.44999999999996</v>
      </c>
      <c r="D13" s="11" t="s">
        <v>34</v>
      </c>
      <c r="E13" s="24">
        <v>239.44999999999996</v>
      </c>
      <c r="F13" s="10">
        <f t="shared" si="0"/>
        <v>1</v>
      </c>
      <c r="G13" s="11"/>
      <c r="H13" s="39"/>
      <c r="I13" s="26"/>
      <c r="J13" s="11"/>
      <c r="K13" s="12"/>
      <c r="L13" s="10"/>
    </row>
    <row r="14" spans="1:12" ht="18" thickBot="1" x14ac:dyDescent="0.35">
      <c r="A14" s="13">
        <v>8</v>
      </c>
      <c r="B14" s="17" t="s">
        <v>42</v>
      </c>
      <c r="C14" s="18">
        <v>218.79999999999984</v>
      </c>
      <c r="D14" s="19" t="s">
        <v>34</v>
      </c>
      <c r="E14" s="18">
        <v>218.79999999999984</v>
      </c>
      <c r="F14" s="17">
        <f t="shared" si="0"/>
        <v>1</v>
      </c>
      <c r="G14" s="19"/>
      <c r="H14" s="40"/>
      <c r="I14" s="36"/>
      <c r="J14" s="19"/>
      <c r="K14" s="20"/>
      <c r="L14" s="17"/>
    </row>
    <row r="16" spans="1:12" x14ac:dyDescent="0.2">
      <c r="A16" s="21"/>
    </row>
  </sheetData>
  <mergeCells count="6">
    <mergeCell ref="J4:L4"/>
    <mergeCell ref="A4:A5"/>
    <mergeCell ref="B4:B5"/>
    <mergeCell ref="D4:F4"/>
    <mergeCell ref="G4:I4"/>
    <mergeCell ref="A1:L1"/>
  </mergeCells>
  <phoneticPr fontId="2" type="noConversion"/>
  <printOptions horizontalCentered="1"/>
  <pageMargins left="0.59055118110236215" right="0.59055118110236215" top="0.59055118110236215" bottom="0.59055118110236215" header="0.3" footer="0.3"/>
  <pageSetup paperSize="9" scale="64" fitToHeight="100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1AB33-E512-440C-B4A2-55E21B017738}">
  <dimension ref="A1:A8"/>
  <sheetViews>
    <sheetView workbookViewId="0">
      <selection activeCell="H29" sqref="H29"/>
    </sheetView>
  </sheetViews>
  <sheetFormatPr defaultRowHeight="14.25" x14ac:dyDescent="0.2"/>
  <cols>
    <col min="1" max="16384" width="9" style="52"/>
  </cols>
  <sheetData>
    <row r="1" spans="1:1" s="50" customFormat="1" ht="16.5" x14ac:dyDescent="0.3"/>
    <row r="2" spans="1:1" s="50" customFormat="1" ht="16.5" x14ac:dyDescent="0.3">
      <c r="A2" s="51" t="s">
        <v>43</v>
      </c>
    </row>
    <row r="3" spans="1:1" s="50" customFormat="1" ht="16.5" x14ac:dyDescent="0.3">
      <c r="A3" s="50" t="s">
        <v>44</v>
      </c>
    </row>
    <row r="4" spans="1:1" s="50" customFormat="1" ht="16.5" x14ac:dyDescent="0.3"/>
    <row r="5" spans="1:1" s="50" customFormat="1" ht="16.5" x14ac:dyDescent="0.3">
      <c r="A5" s="51" t="s">
        <v>45</v>
      </c>
    </row>
    <row r="6" spans="1:1" s="50" customFormat="1" ht="16.5" x14ac:dyDescent="0.3">
      <c r="A6" s="50" t="s">
        <v>46</v>
      </c>
    </row>
    <row r="7" spans="1:1" s="50" customFormat="1" ht="16.5" x14ac:dyDescent="0.3">
      <c r="A7" s="50" t="s">
        <v>47</v>
      </c>
    </row>
    <row r="8" spans="1:1" s="50" customFormat="1" ht="16.5" x14ac:dyDescent="0.3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3</vt:i4>
      </vt:variant>
    </vt:vector>
  </HeadingPairs>
  <TitlesOfParts>
    <vt:vector size="7" baseType="lpstr">
      <vt:lpstr>21H1</vt:lpstr>
      <vt:lpstr>21H2</vt:lpstr>
      <vt:lpstr>22H1</vt:lpstr>
      <vt:lpstr>数据来源&amp;时间</vt:lpstr>
      <vt:lpstr>'21H1'!Print_Titles</vt:lpstr>
      <vt:lpstr>'21H2'!Print_Titles</vt:lpstr>
      <vt:lpstr>'22H1'!Print_Titles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Chloex Luo</dc:creator>
  <cp:lastModifiedBy>Leia Lin</cp:lastModifiedBy>
  <dcterms:created xsi:type="dcterms:W3CDTF">2015-06-05T18:17:20Z</dcterms:created>
  <dcterms:modified xsi:type="dcterms:W3CDTF">2022-06-30T08:02:58Z</dcterms:modified>
</cp:coreProperties>
</file>