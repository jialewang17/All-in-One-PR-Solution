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leilin_publicisgroupe_net/Documents/文档/WeChat Files/wxid_7hlrr0eqcuad22/FileStorage/File/2023-01/"/>
    </mc:Choice>
  </mc:AlternateContent>
  <xr:revisionPtr revIDLastSave="1" documentId="13_ncr:1_{A281650F-0D9A-F64E-9575-5CCB686B4C3C}" xr6:coauthVersionLast="47" xr6:coauthVersionMax="47" xr10:uidLastSave="{5B3749AE-07AC-4A7B-B969-63CC6C1BF171}"/>
  <bookViews>
    <workbookView xWindow="28680" yWindow="-120" windowWidth="29040" windowHeight="15840" xr2:uid="{00000000-000D-0000-FFFF-FFFF00000000}"/>
  </bookViews>
  <sheets>
    <sheet name="投放费用汇总" sheetId="1" r:id="rId1"/>
    <sheet name="Sheet1" sheetId="3" state="hidden" r:id="rId2"/>
    <sheet name="data" sheetId="2" state="hidden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L3" i="2"/>
  <c r="L4" i="2"/>
  <c r="L5" i="2"/>
  <c r="L6" i="2"/>
  <c r="L7" i="2"/>
  <c r="L8" i="2"/>
  <c r="L9" i="2"/>
  <c r="K14" i="1"/>
  <c r="L14" i="1"/>
  <c r="M13" i="1"/>
  <c r="M14" i="1" s="1"/>
  <c r="L2" i="2"/>
  <c r="N2" i="2" s="1"/>
  <c r="J14" i="1"/>
  <c r="I14" i="1"/>
  <c r="H14" i="1"/>
  <c r="G14" i="1"/>
  <c r="O13" i="1" l="1"/>
  <c r="O14" i="1" s="1"/>
</calcChain>
</file>

<file path=xl/sharedStrings.xml><?xml version="1.0" encoding="utf-8"?>
<sst xmlns="http://schemas.openxmlformats.org/spreadsheetml/2006/main" count="97" uniqueCount="40">
  <si>
    <t>单位：万元（刊例价）</t>
  </si>
  <si>
    <t>产品</t>
  </si>
  <si>
    <t>类型</t>
  </si>
  <si>
    <t>类型细分</t>
  </si>
  <si>
    <t>媒体</t>
  </si>
  <si>
    <t>市场</t>
  </si>
  <si>
    <t>单位</t>
  </si>
  <si>
    <t>折扣</t>
  </si>
  <si>
    <t>万元</t>
  </si>
  <si>
    <t>硬广费用合计</t>
  </si>
  <si>
    <t>数据来源：CTR（电视、电台、报纸）、中天户外</t>
    <phoneticPr fontId="7" type="noConversion"/>
  </si>
  <si>
    <t>监测日期：2022年6月-2022年11月</t>
    <phoneticPr fontId="7" type="noConversion"/>
  </si>
  <si>
    <t>媒体类型</t>
  </si>
  <si>
    <t>年</t>
  </si>
  <si>
    <t>月</t>
  </si>
  <si>
    <t>省份</t>
  </si>
  <si>
    <t>媒体大类</t>
    <phoneticPr fontId="9" type="noConversion"/>
  </si>
  <si>
    <t>媒体小类</t>
    <phoneticPr fontId="9" type="noConversion"/>
  </si>
  <si>
    <t>媒体折扣分类</t>
  </si>
  <si>
    <t>产品名称（原）</t>
  </si>
  <si>
    <t>产品名称（调整）</t>
  </si>
  <si>
    <t>刊例花费（元）</t>
  </si>
  <si>
    <t>刊例花费（万元）</t>
  </si>
  <si>
    <t>预估净价（万元）</t>
  </si>
  <si>
    <t>万元</t>
    <phoneticPr fontId="7" type="noConversion"/>
  </si>
  <si>
    <t>2022年6月-2022年11月合计</t>
    <phoneticPr fontId="7" type="noConversion"/>
  </si>
  <si>
    <t>2022年6月-2022年11月折后合计</t>
    <phoneticPr fontId="7" type="noConversion"/>
  </si>
  <si>
    <t>2022年</t>
    <phoneticPr fontId="7" type="noConversion"/>
  </si>
  <si>
    <t>福牌阿胶系列</t>
  </si>
  <si>
    <t>福牌参茸阿胶</t>
  </si>
  <si>
    <t>福牌阿胶</t>
    <phoneticPr fontId="7" type="noConversion"/>
  </si>
  <si>
    <t>山东卫视</t>
    <phoneticPr fontId="7" type="noConversion"/>
  </si>
  <si>
    <t>山东</t>
    <phoneticPr fontId="9" type="noConversion"/>
  </si>
  <si>
    <t>电视</t>
    <phoneticPr fontId="9" type="noConversion"/>
  </si>
  <si>
    <t>卫视</t>
    <phoneticPr fontId="7" type="noConversion"/>
  </si>
  <si>
    <t>山东</t>
    <phoneticPr fontId="7" type="noConversion"/>
  </si>
  <si>
    <t>列标签</t>
  </si>
  <si>
    <t>总计</t>
  </si>
  <si>
    <t>求和项:刊例花费（万元）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</si>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</sst>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_ "/>
  </numFmts>
  <fonts count="12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Microsoft YaHei Regular"/>
      <family val="1"/>
    </font>
    <font>
      <sz val="10"/>
      <name val="Arial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3">
    <xf numFmtId="0" fontId="0" fillId="0" borderId="0">
      <alignment vertical="center"/>
    </xf>
    <xf numFmtId="0" fontId="5" fillId="0" borderId="0"/>
    <xf numFmtId="43" fontId="6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40" fontId="2" fillId="0" borderId="2" xfId="2" applyNumberFormat="1" applyFont="1" applyBorder="1" applyAlignment="1">
      <alignment horizontal="center" vertical="center"/>
    </xf>
    <xf numFmtId="38" fontId="2" fillId="0" borderId="2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3" xfId="2" applyNumberFormat="1" applyFont="1" applyFill="1" applyBorder="1" applyAlignment="1">
      <alignment horizontal="center" vertical="center"/>
    </xf>
    <xf numFmtId="38" fontId="2" fillId="2" borderId="2" xfId="2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8" fontId="2" fillId="3" borderId="3" xfId="2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8" fillId="0" borderId="0" xfId="1" applyNumberFormat="1" applyFont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176" fontId="11" fillId="0" borderId="0" xfId="1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0" fontId="2" fillId="0" borderId="2" xfId="2" applyNumberFormat="1" applyFont="1" applyBorder="1" applyAlignment="1">
      <alignment horizontal="center" vertical="center"/>
    </xf>
    <xf numFmtId="40" fontId="2" fillId="0" borderId="2" xfId="2" applyNumberFormat="1" applyFont="1" applyFill="1" applyBorder="1" applyAlignment="1">
      <alignment horizontal="center" vertical="center"/>
    </xf>
    <xf numFmtId="40" fontId="2" fillId="2" borderId="2" xfId="2" applyNumberFormat="1" applyFont="1" applyFill="1" applyBorder="1" applyAlignment="1">
      <alignment horizontal="center" vertical="center"/>
    </xf>
    <xf numFmtId="40" fontId="2" fillId="3" borderId="2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0" fontId="2" fillId="0" borderId="5" xfId="2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3">
    <cellStyle name="常规" xfId="0" builtinId="0"/>
    <cellStyle name="常规 2" xfId="1" xr:uid="{00000000-0005-0000-0000-000001000000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35.585287847221" createdVersion="8" refreshedVersion="8" minRefreshableVersion="3" recordCount="8" xr:uid="{BEC02048-9385-D345-8DAA-629510F7653E}">
  <cacheSource type="worksheet">
    <worksheetSource ref="A1:O9" sheet="data"/>
  </cacheSource>
  <cacheFields count="15">
    <cacheField name="媒体类型" numFmtId="0">
      <sharedItems/>
    </cacheField>
    <cacheField name="年" numFmtId="0">
      <sharedItems containsSemiMixedTypes="0" containsString="0" containsNumber="1" containsInteger="1" minValue="2022" maxValue="2022" count="1">
        <n v="2022"/>
      </sharedItems>
    </cacheField>
    <cacheField name="月" numFmtId="0">
      <sharedItems containsSemiMixedTypes="0" containsString="0" containsNumber="1" containsInteger="1" minValue="6" maxValue="11" count="6">
        <n v="6"/>
        <n v="7"/>
        <n v="8"/>
        <n v="11"/>
        <n v="9"/>
        <n v="10"/>
      </sharedItems>
    </cacheField>
    <cacheField name="省份" numFmtId="0">
      <sharedItems/>
    </cacheField>
    <cacheField name="媒体大类" numFmtId="0">
      <sharedItems containsNonDate="0" containsString="0" containsBlank="1"/>
    </cacheField>
    <cacheField name="媒体小类" numFmtId="0">
      <sharedItems containsNonDate="0" containsString="0" containsBlank="1"/>
    </cacheField>
    <cacheField name="媒体" numFmtId="0">
      <sharedItems/>
    </cacheField>
    <cacheField name="媒体折扣分类" numFmtId="0">
      <sharedItems/>
    </cacheField>
    <cacheField name="产品名称（原）" numFmtId="0">
      <sharedItems/>
    </cacheField>
    <cacheField name="产品名称（调整）" numFmtId="0">
      <sharedItems/>
    </cacheField>
    <cacheField name="刊例花费（元）" numFmtId="0">
      <sharedItems containsSemiMixedTypes="0" containsString="0" containsNumber="1" containsInteger="1" minValue="231000" maxValue="1212500"/>
    </cacheField>
    <cacheField name="刊例花费（万元）" numFmtId="0">
      <sharedItems containsSemiMixedTypes="0" containsString="0" containsNumber="1" minValue="23.1" maxValue="121.25" count="7">
        <n v="116.05"/>
        <n v="119.35"/>
        <n v="23.1"/>
        <n v="66.849999999999994"/>
        <n v="96.25"/>
        <n v="121.25"/>
        <n v="88.55"/>
      </sharedItems>
    </cacheField>
    <cacheField name="折扣" numFmtId="0">
      <sharedItems containsSemiMixedTypes="0" containsString="0" containsNumber="1" minValue="0.3" maxValue="0.3"/>
    </cacheField>
    <cacheField name="预估净价（万元）" numFmtId="176">
      <sharedItems containsSemiMixedTypes="0" containsString="0" containsNumber="1" minValue="6.9300000000000006" maxValue="36.375" count="7">
        <n v="34.814999999999998"/>
        <n v="35.805"/>
        <n v="6.9300000000000006"/>
        <n v="20.054999999999996"/>
        <n v="28.875"/>
        <n v="36.375"/>
        <n v="26.564999999999998"/>
      </sharedItems>
    </cacheField>
    <cacheField name="单位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电视"/>
    <x v="0"/>
    <x v="0"/>
    <s v="山东"/>
    <m/>
    <m/>
    <s v="山东卫视"/>
    <s v="卫视"/>
    <s v="福牌阿胶系列"/>
    <s v="福牌阿胶"/>
    <n v="1160500"/>
    <x v="0"/>
    <n v="0.3"/>
    <x v="0"/>
    <s v="万元"/>
  </r>
  <r>
    <s v="电视"/>
    <x v="0"/>
    <x v="1"/>
    <s v="山东"/>
    <m/>
    <m/>
    <s v="山东卫视"/>
    <s v="卫视"/>
    <s v="福牌阿胶系列"/>
    <s v="福牌阿胶"/>
    <n v="1193500"/>
    <x v="1"/>
    <n v="0.3"/>
    <x v="1"/>
    <s v="万元"/>
  </r>
  <r>
    <s v="电视"/>
    <x v="0"/>
    <x v="2"/>
    <s v="山东"/>
    <m/>
    <m/>
    <s v="山东卫视"/>
    <s v="卫视"/>
    <s v="福牌阿胶系列"/>
    <s v="福牌阿胶"/>
    <n v="231000"/>
    <x v="2"/>
    <n v="0.3"/>
    <x v="2"/>
    <s v="万元"/>
  </r>
  <r>
    <s v="电视"/>
    <x v="0"/>
    <x v="3"/>
    <s v="山东"/>
    <m/>
    <m/>
    <s v="山东卫视"/>
    <s v="卫视"/>
    <s v="福牌阿胶系列"/>
    <s v="福牌阿胶"/>
    <n v="668500"/>
    <x v="3"/>
    <n v="0.3"/>
    <x v="3"/>
    <s v="万元"/>
  </r>
  <r>
    <s v="电视"/>
    <x v="0"/>
    <x v="2"/>
    <s v="山东"/>
    <m/>
    <m/>
    <s v="山东卫视"/>
    <s v="卫视"/>
    <s v="福牌参茸阿胶"/>
    <s v="福牌阿胶"/>
    <n v="962500"/>
    <x v="4"/>
    <n v="0.3"/>
    <x v="4"/>
    <s v="万元"/>
  </r>
  <r>
    <s v="电视"/>
    <x v="0"/>
    <x v="4"/>
    <s v="山东"/>
    <m/>
    <m/>
    <s v="山东卫视"/>
    <s v="卫视"/>
    <s v="福牌参茸阿胶"/>
    <s v="福牌阿胶"/>
    <n v="1160500"/>
    <x v="0"/>
    <n v="0.3"/>
    <x v="0"/>
    <s v="万元"/>
  </r>
  <r>
    <s v="电视"/>
    <x v="0"/>
    <x v="5"/>
    <s v="山东"/>
    <m/>
    <m/>
    <s v="山东卫视"/>
    <s v="卫视"/>
    <s v="福牌参茸阿胶"/>
    <s v="福牌阿胶"/>
    <n v="1212500"/>
    <x v="5"/>
    <n v="0.3"/>
    <x v="5"/>
    <s v="万元"/>
  </r>
  <r>
    <s v="电视"/>
    <x v="0"/>
    <x v="3"/>
    <s v="山东"/>
    <m/>
    <m/>
    <s v="山东卫视"/>
    <s v="卫视"/>
    <s v="福牌参茸阿胶"/>
    <s v="福牌阿胶"/>
    <n v="885500"/>
    <x v="6"/>
    <n v="0.3"/>
    <x v="6"/>
    <s v="万元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9016F-D450-B04E-978B-6ED84FA4B0B8}" name="数据透视表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H6" firstHeaderRow="1" firstDataRow="2" firstDataCol="1"/>
  <pivotFields count="15">
    <pivotField showAll="0"/>
    <pivotField axis="axisRow" showAll="0">
      <items count="2">
        <item x="0"/>
        <item t="default"/>
      </items>
    </pivotField>
    <pivotField axis="axisCol" showAll="0">
      <items count="7">
        <item x="0"/>
        <item x="1"/>
        <item x="2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2"/>
        <item x="3"/>
        <item x="6"/>
        <item x="4"/>
        <item x="0"/>
        <item x="1"/>
        <item x="5"/>
        <item t="default"/>
      </items>
    </pivotField>
    <pivotField showAll="0"/>
    <pivotField numFmtId="176" showAll="0">
      <items count="8">
        <item x="2"/>
        <item x="3"/>
        <item x="6"/>
        <item x="4"/>
        <item x="0"/>
        <item x="1"/>
        <item x="5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刊例花费（万元）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5"/>
  <sheetViews>
    <sheetView showGridLines="0" showZeros="0" tabSelected="1" zoomScale="94" zoomScaleNormal="70" workbookViewId="0">
      <pane xSplit="6" ySplit="12" topLeftCell="G13" activePane="bottomRight" state="frozen"/>
      <selection pane="topRight"/>
      <selection pane="bottomLeft"/>
      <selection pane="bottomRight" activeCell="I29" sqref="I29"/>
    </sheetView>
  </sheetViews>
  <sheetFormatPr defaultColWidth="8.875" defaultRowHeight="16.5"/>
  <cols>
    <col min="1" max="1" width="24" style="1" customWidth="1"/>
    <col min="2" max="2" width="8.625" style="1" customWidth="1"/>
    <col min="3" max="3" width="11.5" style="1" customWidth="1"/>
    <col min="4" max="4" width="43.5" style="1" customWidth="1"/>
    <col min="5" max="5" width="14.875" style="1" customWidth="1"/>
    <col min="6" max="6" width="12.125" style="1" customWidth="1"/>
    <col min="7" max="11" width="11.125" style="2" customWidth="1"/>
    <col min="12" max="12" width="10.125" style="2" customWidth="1"/>
    <col min="13" max="13" width="25.125" style="1" customWidth="1"/>
    <col min="14" max="14" width="8.875" style="1"/>
    <col min="15" max="15" width="30" style="1" customWidth="1"/>
    <col min="16" max="16384" width="8.875" style="1"/>
  </cols>
  <sheetData>
    <row r="1" spans="1:15">
      <c r="A1" s="1" t="s">
        <v>10</v>
      </c>
      <c r="E1" s="2"/>
      <c r="F1" s="2"/>
    </row>
    <row r="2" spans="1:15">
      <c r="A2" s="1" t="s">
        <v>11</v>
      </c>
      <c r="E2" s="2"/>
      <c r="F2" s="2"/>
    </row>
    <row r="3" spans="1:15">
      <c r="A3" s="1" t="s">
        <v>0</v>
      </c>
      <c r="E3" s="2"/>
      <c r="F3" s="2"/>
    </row>
    <row r="4" spans="1:15">
      <c r="E4" s="2"/>
      <c r="F4" s="2"/>
    </row>
    <row r="5" spans="1:15">
      <c r="E5" s="2"/>
      <c r="F5" s="2"/>
    </row>
    <row r="6" spans="1:15">
      <c r="A6" s="3"/>
      <c r="E6" s="2"/>
      <c r="F6" s="2"/>
    </row>
    <row r="7" spans="1:15">
      <c r="A7" s="3"/>
      <c r="E7" s="2"/>
      <c r="F7" s="2"/>
    </row>
    <row r="8" spans="1:15">
      <c r="A8" s="3"/>
      <c r="E8" s="2"/>
      <c r="F8" s="2"/>
    </row>
    <row r="9" spans="1:15">
      <c r="A9" s="3"/>
      <c r="E9" s="2"/>
      <c r="F9" s="2"/>
    </row>
    <row r="10" spans="1:15">
      <c r="A10" s="35"/>
      <c r="B10" s="35"/>
      <c r="C10" s="35"/>
      <c r="D10" s="35"/>
      <c r="E10" s="35"/>
      <c r="F10" s="35"/>
    </row>
    <row r="11" spans="1:15">
      <c r="A11" s="23" t="s">
        <v>1</v>
      </c>
      <c r="B11" s="23" t="s">
        <v>2</v>
      </c>
      <c r="C11" s="33" t="s">
        <v>3</v>
      </c>
      <c r="D11" s="23" t="s">
        <v>4</v>
      </c>
      <c r="E11" s="23" t="s">
        <v>5</v>
      </c>
      <c r="F11" s="23" t="s">
        <v>6</v>
      </c>
      <c r="G11" s="23" t="s">
        <v>27</v>
      </c>
      <c r="H11" s="23"/>
      <c r="I11" s="23"/>
      <c r="J11" s="23"/>
      <c r="K11" s="23"/>
      <c r="L11" s="23"/>
      <c r="M11" s="31" t="s">
        <v>25</v>
      </c>
      <c r="N11" s="31" t="s">
        <v>7</v>
      </c>
      <c r="O11" s="31" t="s">
        <v>26</v>
      </c>
    </row>
    <row r="12" spans="1:15">
      <c r="A12" s="23"/>
      <c r="B12" s="23"/>
      <c r="C12" s="34"/>
      <c r="D12" s="23"/>
      <c r="E12" s="23"/>
      <c r="F12" s="23"/>
      <c r="G12" s="4">
        <v>6</v>
      </c>
      <c r="H12" s="4">
        <v>7</v>
      </c>
      <c r="I12" s="4">
        <v>8</v>
      </c>
      <c r="J12" s="4">
        <v>9</v>
      </c>
      <c r="K12" s="4">
        <v>10</v>
      </c>
      <c r="L12" s="4">
        <v>11</v>
      </c>
      <c r="M12" s="31"/>
      <c r="N12" s="31"/>
      <c r="O12" s="31"/>
    </row>
    <row r="13" spans="1:15">
      <c r="A13" s="27" t="s">
        <v>30</v>
      </c>
      <c r="B13" s="16" t="s">
        <v>33</v>
      </c>
      <c r="C13" s="5" t="s">
        <v>34</v>
      </c>
      <c r="D13" s="5" t="s">
        <v>31</v>
      </c>
      <c r="E13" s="5" t="s">
        <v>35</v>
      </c>
      <c r="F13" s="5" t="s">
        <v>8</v>
      </c>
      <c r="G13" s="6">
        <v>116.05</v>
      </c>
      <c r="H13" s="6">
        <v>119.35</v>
      </c>
      <c r="I13" s="6">
        <v>119.35</v>
      </c>
      <c r="J13" s="6">
        <v>116.05</v>
      </c>
      <c r="K13" s="6">
        <v>121.25</v>
      </c>
      <c r="L13" s="6">
        <v>155.39999999999998</v>
      </c>
      <c r="M13" s="9">
        <f>SUM(G13:L13)</f>
        <v>747.44999999999993</v>
      </c>
      <c r="N13" s="10">
        <v>0.3</v>
      </c>
      <c r="O13" s="9">
        <f>M13*N13</f>
        <v>224.23499999999999</v>
      </c>
    </row>
    <row r="14" spans="1:15">
      <c r="A14" s="32"/>
      <c r="B14" s="24" t="s">
        <v>9</v>
      </c>
      <c r="C14" s="25"/>
      <c r="D14" s="25"/>
      <c r="E14" s="26"/>
      <c r="F14" s="7" t="s">
        <v>8</v>
      </c>
      <c r="G14" s="8">
        <f>SUM(G13:G13)</f>
        <v>116.05</v>
      </c>
      <c r="H14" s="8">
        <f>SUM(H13:H13)</f>
        <v>119.35</v>
      </c>
      <c r="I14" s="8">
        <f>SUM(I13:I13)</f>
        <v>119.35</v>
      </c>
      <c r="J14" s="8">
        <f>SUM(J13:J13)</f>
        <v>116.05</v>
      </c>
      <c r="K14" s="8">
        <f t="shared" ref="K14:L14" si="0">SUM(K13:K13)</f>
        <v>121.25</v>
      </c>
      <c r="L14" s="8">
        <f t="shared" si="0"/>
        <v>155.39999999999998</v>
      </c>
      <c r="M14" s="11">
        <f>SUM(M13:M13)</f>
        <v>747.44999999999993</v>
      </c>
      <c r="N14" s="11"/>
      <c r="O14" s="11">
        <f>SUM(O13:O13)</f>
        <v>224.23499999999999</v>
      </c>
    </row>
    <row r="15" spans="1:15">
      <c r="A15" s="27"/>
      <c r="B15" s="27"/>
      <c r="C15" s="27"/>
      <c r="D15" s="27"/>
      <c r="E15" s="27"/>
      <c r="F15" s="27"/>
      <c r="G15" s="28"/>
      <c r="H15" s="28"/>
      <c r="I15" s="28"/>
      <c r="J15" s="28"/>
      <c r="K15" s="28"/>
      <c r="L15" s="28"/>
      <c r="M15" s="29"/>
      <c r="N15" s="30"/>
      <c r="O15" s="29"/>
    </row>
  </sheetData>
  <mergeCells count="14">
    <mergeCell ref="A10:F10"/>
    <mergeCell ref="G11:L11"/>
    <mergeCell ref="B14:E14"/>
    <mergeCell ref="A15:O15"/>
    <mergeCell ref="D11:D12"/>
    <mergeCell ref="E11:E12"/>
    <mergeCell ref="F11:F12"/>
    <mergeCell ref="M11:M12"/>
    <mergeCell ref="N11:N12"/>
    <mergeCell ref="O11:O12"/>
    <mergeCell ref="A11:A12"/>
    <mergeCell ref="A13:A14"/>
    <mergeCell ref="B11:B12"/>
    <mergeCell ref="C11:C12"/>
  </mergeCells>
  <phoneticPr fontId="7" type="noConversion"/>
  <pageMargins left="0.7" right="0.7" top="0.75" bottom="0.75" header="0.3" footer="0.3"/>
  <pageSetup paperSize="9" orientation="portrait" verticalDpi="300"/>
  <ignoredErrors>
    <ignoredError sqref="G14:J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991B-8191-A647-8DD4-25B18DED9A8A}">
  <dimension ref="A3:H6"/>
  <sheetViews>
    <sheetView workbookViewId="0">
      <selection activeCell="N2" sqref="N2:N9"/>
    </sheetView>
  </sheetViews>
  <sheetFormatPr defaultColWidth="11" defaultRowHeight="14.25"/>
  <cols>
    <col min="1" max="1" width="23.875" bestFit="1" customWidth="1"/>
    <col min="2" max="2" width="10" bestFit="1" customWidth="1"/>
    <col min="3" max="6" width="8" bestFit="1" customWidth="1"/>
    <col min="7" max="7" width="7" bestFit="1" customWidth="1"/>
    <col min="8" max="9" width="8" bestFit="1" customWidth="1"/>
    <col min="10" max="10" width="7.125" bestFit="1" customWidth="1"/>
    <col min="11" max="11" width="8" bestFit="1" customWidth="1"/>
    <col min="12" max="12" width="8.125" bestFit="1" customWidth="1"/>
    <col min="13" max="14" width="7" bestFit="1" customWidth="1"/>
    <col min="15" max="15" width="8.125" bestFit="1" customWidth="1"/>
    <col min="16" max="16" width="5.625" bestFit="1" customWidth="1"/>
  </cols>
  <sheetData>
    <row r="3" spans="1:8">
      <c r="A3" s="21" t="s">
        <v>38</v>
      </c>
      <c r="B3" s="21" t="s">
        <v>36</v>
      </c>
    </row>
    <row r="4" spans="1:8">
      <c r="A4" s="21" t="s">
        <v>39</v>
      </c>
      <c r="B4">
        <v>6</v>
      </c>
      <c r="C4">
        <v>7</v>
      </c>
      <c r="D4">
        <v>8</v>
      </c>
      <c r="E4">
        <v>9</v>
      </c>
      <c r="F4">
        <v>10</v>
      </c>
      <c r="G4">
        <v>11</v>
      </c>
      <c r="H4" t="s">
        <v>37</v>
      </c>
    </row>
    <row r="5" spans="1:8">
      <c r="A5" s="22">
        <v>2022</v>
      </c>
      <c r="B5" s="20">
        <v>116.05</v>
      </c>
      <c r="C5" s="20">
        <v>119.35</v>
      </c>
      <c r="D5" s="20">
        <v>119.35</v>
      </c>
      <c r="E5" s="20">
        <v>116.05</v>
      </c>
      <c r="F5" s="20">
        <v>121.25</v>
      </c>
      <c r="G5" s="20">
        <v>155.39999999999998</v>
      </c>
      <c r="H5" s="20">
        <v>747.44999999999993</v>
      </c>
    </row>
    <row r="6" spans="1:8">
      <c r="A6" s="22" t="s">
        <v>37</v>
      </c>
      <c r="B6" s="20">
        <v>116.05</v>
      </c>
      <c r="C6" s="20">
        <v>119.35</v>
      </c>
      <c r="D6" s="20">
        <v>119.35</v>
      </c>
      <c r="E6" s="20">
        <v>116.05</v>
      </c>
      <c r="F6" s="20">
        <v>121.25</v>
      </c>
      <c r="G6" s="20">
        <v>155.39999999999998</v>
      </c>
      <c r="H6" s="20">
        <v>747.44999999999993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FFF-DB8D-C14A-BDCE-551669402201}">
  <dimension ref="A1:O9"/>
  <sheetViews>
    <sheetView workbookViewId="0">
      <selection activeCell="N2" sqref="N2:N9"/>
    </sheetView>
  </sheetViews>
  <sheetFormatPr defaultColWidth="11" defaultRowHeight="14.25"/>
  <cols>
    <col min="8" max="8" width="19.875" customWidth="1"/>
    <col min="9" max="9" width="16.125" customWidth="1"/>
    <col min="10" max="10" width="17.125" customWidth="1"/>
    <col min="11" max="11" width="15.5" customWidth="1"/>
    <col min="12" max="12" width="23.125" customWidth="1"/>
    <col min="14" max="14" width="19.625" customWidth="1"/>
  </cols>
  <sheetData>
    <row r="1" spans="1:15" ht="18">
      <c r="A1" s="1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4</v>
      </c>
      <c r="H1" s="12" t="s">
        <v>18</v>
      </c>
      <c r="I1" s="12" t="s">
        <v>19</v>
      </c>
      <c r="J1" s="12" t="s">
        <v>20</v>
      </c>
      <c r="K1" s="13" t="s">
        <v>21</v>
      </c>
      <c r="L1" s="12" t="s">
        <v>22</v>
      </c>
      <c r="M1" s="12" t="s">
        <v>7</v>
      </c>
      <c r="N1" s="14" t="s">
        <v>23</v>
      </c>
      <c r="O1" s="15" t="s">
        <v>6</v>
      </c>
    </row>
    <row r="2" spans="1:15" ht="16.5">
      <c r="A2" s="16" t="s">
        <v>33</v>
      </c>
      <c r="B2" s="17">
        <v>2022</v>
      </c>
      <c r="C2" s="17">
        <v>6</v>
      </c>
      <c r="D2" s="16" t="s">
        <v>32</v>
      </c>
      <c r="E2" s="17"/>
      <c r="F2" s="17"/>
      <c r="G2" s="18" t="s">
        <v>31</v>
      </c>
      <c r="H2" s="18" t="s">
        <v>34</v>
      </c>
      <c r="I2" s="18" t="s">
        <v>28</v>
      </c>
      <c r="J2" s="18" t="s">
        <v>30</v>
      </c>
      <c r="K2" s="18">
        <v>1160500</v>
      </c>
      <c r="L2" s="18">
        <f>K2/10000</f>
        <v>116.05</v>
      </c>
      <c r="M2" s="16">
        <v>0.3</v>
      </c>
      <c r="N2" s="19">
        <f>L2*M2</f>
        <v>34.814999999999998</v>
      </c>
      <c r="O2" s="16" t="s">
        <v>24</v>
      </c>
    </row>
    <row r="3" spans="1:15" ht="16.5">
      <c r="A3" s="16" t="s">
        <v>33</v>
      </c>
      <c r="B3" s="17">
        <v>2022</v>
      </c>
      <c r="C3" s="17">
        <v>7</v>
      </c>
      <c r="D3" s="16" t="s">
        <v>32</v>
      </c>
      <c r="E3" s="17"/>
      <c r="F3" s="17"/>
      <c r="G3" s="18" t="s">
        <v>31</v>
      </c>
      <c r="H3" s="18" t="s">
        <v>34</v>
      </c>
      <c r="I3" s="18" t="s">
        <v>28</v>
      </c>
      <c r="J3" s="18" t="s">
        <v>30</v>
      </c>
      <c r="K3" s="18">
        <v>1193500</v>
      </c>
      <c r="L3" s="18">
        <f t="shared" ref="L3:L9" si="0">K3/10000</f>
        <v>119.35</v>
      </c>
      <c r="M3" s="16">
        <v>0.3</v>
      </c>
      <c r="N3" s="19">
        <f t="shared" ref="N3:N9" si="1">L3*M3</f>
        <v>35.805</v>
      </c>
      <c r="O3" s="16" t="s">
        <v>24</v>
      </c>
    </row>
    <row r="4" spans="1:15" ht="16.5">
      <c r="A4" s="16" t="s">
        <v>33</v>
      </c>
      <c r="B4" s="17">
        <v>2022</v>
      </c>
      <c r="C4" s="17">
        <v>8</v>
      </c>
      <c r="D4" s="16" t="s">
        <v>32</v>
      </c>
      <c r="E4" s="17"/>
      <c r="F4" s="17"/>
      <c r="G4" s="18" t="s">
        <v>31</v>
      </c>
      <c r="H4" s="18" t="s">
        <v>34</v>
      </c>
      <c r="I4" s="18" t="s">
        <v>28</v>
      </c>
      <c r="J4" s="18" t="s">
        <v>30</v>
      </c>
      <c r="K4" s="18">
        <v>231000</v>
      </c>
      <c r="L4" s="18">
        <f t="shared" si="0"/>
        <v>23.1</v>
      </c>
      <c r="M4" s="16">
        <v>0.3</v>
      </c>
      <c r="N4" s="19">
        <f t="shared" si="1"/>
        <v>6.9300000000000006</v>
      </c>
      <c r="O4" s="16" t="s">
        <v>24</v>
      </c>
    </row>
    <row r="5" spans="1:15" ht="16.5">
      <c r="A5" s="16" t="s">
        <v>33</v>
      </c>
      <c r="B5" s="17">
        <v>2022</v>
      </c>
      <c r="C5" s="17">
        <v>11</v>
      </c>
      <c r="D5" s="16" t="s">
        <v>32</v>
      </c>
      <c r="E5" s="17"/>
      <c r="F5" s="17"/>
      <c r="G5" s="18" t="s">
        <v>31</v>
      </c>
      <c r="H5" s="18" t="s">
        <v>34</v>
      </c>
      <c r="I5" s="18" t="s">
        <v>28</v>
      </c>
      <c r="J5" s="18" t="s">
        <v>30</v>
      </c>
      <c r="K5" s="18">
        <v>668500</v>
      </c>
      <c r="L5" s="18">
        <f t="shared" si="0"/>
        <v>66.849999999999994</v>
      </c>
      <c r="M5" s="16">
        <v>0.3</v>
      </c>
      <c r="N5" s="19">
        <f t="shared" si="1"/>
        <v>20.054999999999996</v>
      </c>
      <c r="O5" s="16" t="s">
        <v>24</v>
      </c>
    </row>
    <row r="6" spans="1:15" ht="16.5">
      <c r="A6" s="16" t="s">
        <v>33</v>
      </c>
      <c r="B6" s="17">
        <v>2022</v>
      </c>
      <c r="C6" s="17">
        <v>8</v>
      </c>
      <c r="D6" s="16" t="s">
        <v>32</v>
      </c>
      <c r="E6" s="17"/>
      <c r="F6" s="17"/>
      <c r="G6" s="18" t="s">
        <v>31</v>
      </c>
      <c r="H6" s="18" t="s">
        <v>34</v>
      </c>
      <c r="I6" s="18" t="s">
        <v>29</v>
      </c>
      <c r="J6" s="18" t="s">
        <v>30</v>
      </c>
      <c r="K6" s="18">
        <v>962500</v>
      </c>
      <c r="L6" s="18">
        <f t="shared" si="0"/>
        <v>96.25</v>
      </c>
      <c r="M6" s="16">
        <v>0.3</v>
      </c>
      <c r="N6" s="19">
        <f t="shared" si="1"/>
        <v>28.875</v>
      </c>
      <c r="O6" s="16" t="s">
        <v>24</v>
      </c>
    </row>
    <row r="7" spans="1:15" ht="16.5">
      <c r="A7" s="16" t="s">
        <v>33</v>
      </c>
      <c r="B7" s="17">
        <v>2022</v>
      </c>
      <c r="C7" s="17">
        <v>9</v>
      </c>
      <c r="D7" s="16" t="s">
        <v>32</v>
      </c>
      <c r="E7" s="17"/>
      <c r="F7" s="17"/>
      <c r="G7" s="18" t="s">
        <v>31</v>
      </c>
      <c r="H7" s="18" t="s">
        <v>34</v>
      </c>
      <c r="I7" s="18" t="s">
        <v>29</v>
      </c>
      <c r="J7" s="18" t="s">
        <v>30</v>
      </c>
      <c r="K7" s="18">
        <v>1160500</v>
      </c>
      <c r="L7" s="18">
        <f t="shared" si="0"/>
        <v>116.05</v>
      </c>
      <c r="M7" s="16">
        <v>0.3</v>
      </c>
      <c r="N7" s="19">
        <f t="shared" si="1"/>
        <v>34.814999999999998</v>
      </c>
      <c r="O7" s="16" t="s">
        <v>24</v>
      </c>
    </row>
    <row r="8" spans="1:15" ht="16.5">
      <c r="A8" s="16" t="s">
        <v>33</v>
      </c>
      <c r="B8" s="17">
        <v>2022</v>
      </c>
      <c r="C8" s="17">
        <v>10</v>
      </c>
      <c r="D8" s="16" t="s">
        <v>32</v>
      </c>
      <c r="E8" s="17"/>
      <c r="F8" s="17"/>
      <c r="G8" s="18" t="s">
        <v>31</v>
      </c>
      <c r="H8" s="18" t="s">
        <v>34</v>
      </c>
      <c r="I8" s="18" t="s">
        <v>29</v>
      </c>
      <c r="J8" s="18" t="s">
        <v>30</v>
      </c>
      <c r="K8" s="18">
        <v>1212500</v>
      </c>
      <c r="L8" s="18">
        <f t="shared" si="0"/>
        <v>121.25</v>
      </c>
      <c r="M8" s="16">
        <v>0.3</v>
      </c>
      <c r="N8" s="19">
        <f t="shared" si="1"/>
        <v>36.375</v>
      </c>
      <c r="O8" s="16" t="s">
        <v>24</v>
      </c>
    </row>
    <row r="9" spans="1:15" ht="16.5">
      <c r="A9" s="16" t="s">
        <v>33</v>
      </c>
      <c r="B9" s="17">
        <v>2022</v>
      </c>
      <c r="C9" s="17">
        <v>11</v>
      </c>
      <c r="D9" s="16" t="s">
        <v>32</v>
      </c>
      <c r="E9" s="17"/>
      <c r="F9" s="17"/>
      <c r="G9" s="18" t="s">
        <v>31</v>
      </c>
      <c r="H9" s="18" t="s">
        <v>34</v>
      </c>
      <c r="I9" s="18" t="s">
        <v>29</v>
      </c>
      <c r="J9" s="18" t="s">
        <v>30</v>
      </c>
      <c r="K9" s="18">
        <v>885500</v>
      </c>
      <c r="L9" s="18">
        <f t="shared" si="0"/>
        <v>88.55</v>
      </c>
      <c r="M9" s="16">
        <v>0.3</v>
      </c>
      <c r="N9" s="19">
        <f t="shared" si="1"/>
        <v>26.564999999999998</v>
      </c>
      <c r="O9" s="16" t="s">
        <v>24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投放费用汇总</vt:lpstr>
      <vt:lpstr>Sheet1</vt:lpstr>
      <vt:lpstr>data</vt:lpstr>
    </vt:vector>
  </TitlesOfParts>
  <Company>PublicisGroupe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Leia Lin</cp:lastModifiedBy>
  <dcterms:created xsi:type="dcterms:W3CDTF">2021-12-30T03:05:00Z</dcterms:created>
  <dcterms:modified xsi:type="dcterms:W3CDTF">2023-01-09T06:08:39Z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70A2EBEF6028C07F151A8E63FAAF42EA</vt:lpwstr>
  </property>
</Properties>
</file>