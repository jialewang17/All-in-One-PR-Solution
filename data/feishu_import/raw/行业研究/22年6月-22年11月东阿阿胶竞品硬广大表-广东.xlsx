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ilin\OneDrive - Publicis Groupe\文档\WeChat Files\wxid_7hlrr0eqcuad22\FileStorage\File\2023-01\"/>
    </mc:Choice>
  </mc:AlternateContent>
  <xr:revisionPtr revIDLastSave="0" documentId="13_ncr:1_{2A8244E7-4BB3-46B6-9836-828A864D83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投放费用汇总" sheetId="1" r:id="rId1"/>
    <sheet name="da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L9" i="1"/>
  <c r="M8" i="1"/>
  <c r="M9" i="1" s="1"/>
  <c r="N3" i="2"/>
  <c r="N4" i="2"/>
  <c r="N5" i="2"/>
  <c r="N6" i="2"/>
  <c r="N2" i="2"/>
  <c r="L6" i="2"/>
  <c r="L5" i="2"/>
  <c r="L4" i="2"/>
  <c r="L3" i="2"/>
  <c r="L2" i="2"/>
  <c r="J9" i="1"/>
  <c r="I9" i="1"/>
  <c r="H9" i="1"/>
  <c r="G9" i="1"/>
  <c r="O8" i="1" l="1"/>
  <c r="O9" i="1" s="1"/>
</calcChain>
</file>

<file path=xl/sharedStrings.xml><?xml version="1.0" encoding="utf-8"?>
<sst xmlns="http://schemas.openxmlformats.org/spreadsheetml/2006/main" count="76" uniqueCount="39">
  <si>
    <t>单位：万元（刊例价）</t>
  </si>
  <si>
    <t>产品</t>
  </si>
  <si>
    <t>类型</t>
  </si>
  <si>
    <t>类型细分</t>
  </si>
  <si>
    <t>媒体</t>
  </si>
  <si>
    <t>市场</t>
  </si>
  <si>
    <t>单位</t>
  </si>
  <si>
    <t>折扣</t>
  </si>
  <si>
    <t>万元</t>
  </si>
  <si>
    <t>硬广费用合计</t>
  </si>
  <si>
    <t>数据来源：CTR（电视、电台、报纸）、中天户外</t>
    <phoneticPr fontId="6" type="noConversion"/>
  </si>
  <si>
    <t>监测日期：2022年6月-2022年11月</t>
    <phoneticPr fontId="6" type="noConversion"/>
  </si>
  <si>
    <t>同仁堂阿胶</t>
    <phoneticPr fontId="6" type="noConversion"/>
  </si>
  <si>
    <t>媒体类型</t>
  </si>
  <si>
    <t>年</t>
  </si>
  <si>
    <t>月</t>
  </si>
  <si>
    <t>省份</t>
  </si>
  <si>
    <t>媒体大类</t>
    <phoneticPr fontId="8" type="noConversion"/>
  </si>
  <si>
    <t>媒体小类</t>
    <phoneticPr fontId="8" type="noConversion"/>
  </si>
  <si>
    <t>媒体折扣分类</t>
  </si>
  <si>
    <t>产品名称（原）</t>
  </si>
  <si>
    <t>产品名称（调整）</t>
  </si>
  <si>
    <t>刊例花费（元）</t>
  </si>
  <si>
    <t>刊例花费（万元）</t>
  </si>
  <si>
    <t>预估净价（万元）</t>
  </si>
  <si>
    <t>户外</t>
    <phoneticPr fontId="8" type="noConversion"/>
  </si>
  <si>
    <t>广东</t>
    <phoneticPr fontId="8" type="noConversion"/>
  </si>
  <si>
    <t>公交车身</t>
  </si>
  <si>
    <t>单层空调</t>
  </si>
  <si>
    <t>同仁堂永盛合阿胶</t>
  </si>
  <si>
    <t>同仁堂阿胶</t>
    <phoneticPr fontId="8" type="noConversion"/>
  </si>
  <si>
    <t>万元</t>
    <phoneticPr fontId="6" type="noConversion"/>
  </si>
  <si>
    <t>户外</t>
    <phoneticPr fontId="6" type="noConversion"/>
  </si>
  <si>
    <t>-</t>
    <phoneticPr fontId="6" type="noConversion"/>
  </si>
  <si>
    <t>公交车身</t>
    <phoneticPr fontId="6" type="noConversion"/>
  </si>
  <si>
    <t>广东</t>
    <phoneticPr fontId="6" type="noConversion"/>
  </si>
  <si>
    <t>2022年6月-2022年11月合计</t>
    <phoneticPr fontId="6" type="noConversion"/>
  </si>
  <si>
    <t>2022年6月-2022年11月折后合计</t>
    <phoneticPr fontId="6" type="noConversion"/>
  </si>
  <si>
    <t>2022年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</si>
</sst>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#,##0_ "/>
  </numFmts>
  <fonts count="1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Microsoft YaHei Regular"/>
      <family val="1"/>
    </font>
    <font>
      <sz val="10"/>
      <name val="Arial"/>
      <family val="2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3">
    <xf numFmtId="0" fontId="0" fillId="0" borderId="0">
      <alignment vertical="center"/>
    </xf>
    <xf numFmtId="0" fontId="4" fillId="0" borderId="0"/>
    <xf numFmtId="43" fontId="5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40" fontId="2" fillId="0" borderId="2" xfId="2" applyNumberFormat="1" applyFont="1" applyBorder="1" applyAlignment="1">
      <alignment horizontal="center" vertical="center"/>
    </xf>
    <xf numFmtId="38" fontId="2" fillId="0" borderId="2" xfId="2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8" fontId="2" fillId="0" borderId="3" xfId="2" applyNumberFormat="1" applyFont="1" applyFill="1" applyBorder="1" applyAlignment="1">
      <alignment horizontal="center" vertical="center"/>
    </xf>
    <xf numFmtId="38" fontId="2" fillId="2" borderId="2" xfId="2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8" fontId="2" fillId="3" borderId="3" xfId="2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0" fontId="2" fillId="0" borderId="2" xfId="2" applyNumberFormat="1" applyFont="1" applyBorder="1" applyAlignment="1">
      <alignment horizontal="center" vertical="center"/>
    </xf>
    <xf numFmtId="40" fontId="2" fillId="0" borderId="2" xfId="2" applyNumberFormat="1" applyFont="1" applyFill="1" applyBorder="1" applyAlignment="1">
      <alignment horizontal="center" vertical="center"/>
    </xf>
    <xf numFmtId="40" fontId="2" fillId="2" borderId="2" xfId="2" applyNumberFormat="1" applyFont="1" applyFill="1" applyBorder="1" applyAlignment="1">
      <alignment horizontal="center" vertical="center"/>
    </xf>
    <xf numFmtId="40" fontId="2" fillId="3" borderId="2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0" fontId="2" fillId="0" borderId="5" xfId="2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3">
    <cellStyle name="常规" xfId="0" builtinId="0"/>
    <cellStyle name="常规 2" xfId="1" xr:uid="{00000000-0005-0000-0000-000001000000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0"/>
  <sheetViews>
    <sheetView showGridLines="0" showZeros="0" tabSelected="1" zoomScale="94" zoomScaleNormal="70" workbookViewId="0">
      <pane xSplit="6" ySplit="7" topLeftCell="G8" activePane="bottomRight" state="frozen"/>
      <selection pane="topRight"/>
      <selection pane="bottomLeft"/>
      <selection pane="bottomRight" activeCell="B32" sqref="B32"/>
    </sheetView>
  </sheetViews>
  <sheetFormatPr defaultColWidth="8.875" defaultRowHeight="16.5"/>
  <cols>
    <col min="1" max="1" width="24" style="1" customWidth="1"/>
    <col min="2" max="2" width="8.625" style="1" customWidth="1"/>
    <col min="3" max="3" width="11.5" style="1" customWidth="1"/>
    <col min="4" max="4" width="43.5" style="1" customWidth="1"/>
    <col min="5" max="5" width="14.875" style="1" customWidth="1"/>
    <col min="6" max="6" width="12.125" style="1" customWidth="1"/>
    <col min="7" max="11" width="11.125" style="2" customWidth="1"/>
    <col min="12" max="12" width="10.125" style="2" customWidth="1"/>
    <col min="13" max="13" width="25.125" style="1" customWidth="1"/>
    <col min="14" max="14" width="8.875" style="1"/>
    <col min="15" max="15" width="30" style="1" customWidth="1"/>
    <col min="16" max="16384" width="8.875" style="1"/>
  </cols>
  <sheetData>
    <row r="1" spans="1:15">
      <c r="A1" s="1" t="s">
        <v>10</v>
      </c>
      <c r="E1" s="2"/>
      <c r="F1" s="2"/>
    </row>
    <row r="2" spans="1:15">
      <c r="A2" s="1" t="s">
        <v>11</v>
      </c>
      <c r="E2" s="2"/>
      <c r="F2" s="2"/>
    </row>
    <row r="3" spans="1:15">
      <c r="A3" s="1" t="s">
        <v>0</v>
      </c>
      <c r="E3" s="2"/>
      <c r="F3" s="2"/>
    </row>
    <row r="4" spans="1:15">
      <c r="E4" s="2"/>
      <c r="F4" s="2"/>
    </row>
    <row r="5" spans="1:15">
      <c r="A5" s="30"/>
      <c r="B5" s="30"/>
      <c r="C5" s="30"/>
      <c r="D5" s="30"/>
      <c r="E5" s="30"/>
      <c r="F5" s="30"/>
    </row>
    <row r="6" spans="1:15">
      <c r="A6" s="18" t="s">
        <v>1</v>
      </c>
      <c r="B6" s="18" t="s">
        <v>2</v>
      </c>
      <c r="C6" s="28" t="s">
        <v>3</v>
      </c>
      <c r="D6" s="18" t="s">
        <v>4</v>
      </c>
      <c r="E6" s="18" t="s">
        <v>5</v>
      </c>
      <c r="F6" s="18" t="s">
        <v>6</v>
      </c>
      <c r="G6" s="18" t="s">
        <v>38</v>
      </c>
      <c r="H6" s="18"/>
      <c r="I6" s="18"/>
      <c r="J6" s="18"/>
      <c r="K6" s="18"/>
      <c r="L6" s="18"/>
      <c r="M6" s="26" t="s">
        <v>36</v>
      </c>
      <c r="N6" s="26" t="s">
        <v>7</v>
      </c>
      <c r="O6" s="26" t="s">
        <v>37</v>
      </c>
    </row>
    <row r="7" spans="1:15">
      <c r="A7" s="18"/>
      <c r="B7" s="18"/>
      <c r="C7" s="29"/>
      <c r="D7" s="18"/>
      <c r="E7" s="18"/>
      <c r="F7" s="18"/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26"/>
      <c r="N7" s="26"/>
      <c r="O7" s="26"/>
    </row>
    <row r="8" spans="1:15">
      <c r="A8" s="22" t="s">
        <v>12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8</v>
      </c>
      <c r="G8" s="5">
        <v>3.6</v>
      </c>
      <c r="H8" s="5">
        <v>3.6</v>
      </c>
      <c r="I8" s="5">
        <v>3.6</v>
      </c>
      <c r="J8" s="5">
        <v>3.6</v>
      </c>
      <c r="K8" s="5">
        <v>3.6</v>
      </c>
      <c r="L8" s="5"/>
      <c r="M8" s="8">
        <f>SUM(G8:L8)</f>
        <v>18</v>
      </c>
      <c r="N8" s="9">
        <v>0.2</v>
      </c>
      <c r="O8" s="8">
        <f>M8*N8</f>
        <v>3.6</v>
      </c>
    </row>
    <row r="9" spans="1:15">
      <c r="A9" s="27"/>
      <c r="B9" s="19" t="s">
        <v>9</v>
      </c>
      <c r="C9" s="20"/>
      <c r="D9" s="20"/>
      <c r="E9" s="21"/>
      <c r="F9" s="6" t="s">
        <v>8</v>
      </c>
      <c r="G9" s="7">
        <f>SUM(G8:G8)</f>
        <v>3.6</v>
      </c>
      <c r="H9" s="7">
        <f>SUM(H8:H8)</f>
        <v>3.6</v>
      </c>
      <c r="I9" s="7">
        <f>SUM(I8:I8)</f>
        <v>3.6</v>
      </c>
      <c r="J9" s="7">
        <f>SUM(J8:J8)</f>
        <v>3.6</v>
      </c>
      <c r="K9" s="7">
        <f t="shared" ref="K9:L9" si="0">SUM(K8:K8)</f>
        <v>3.6</v>
      </c>
      <c r="L9" s="7">
        <f t="shared" si="0"/>
        <v>0</v>
      </c>
      <c r="M9" s="10">
        <f>SUM(M8:M8)</f>
        <v>18</v>
      </c>
      <c r="N9" s="10"/>
      <c r="O9" s="10">
        <f>SUM(O8:O8)</f>
        <v>3.6</v>
      </c>
    </row>
    <row r="10" spans="1:15">
      <c r="A10" s="22"/>
      <c r="B10" s="22"/>
      <c r="C10" s="22"/>
      <c r="D10" s="22"/>
      <c r="E10" s="22"/>
      <c r="F10" s="22"/>
      <c r="G10" s="23"/>
      <c r="H10" s="23"/>
      <c r="I10" s="23"/>
      <c r="J10" s="23"/>
      <c r="K10" s="23"/>
      <c r="L10" s="23"/>
      <c r="M10" s="24"/>
      <c r="N10" s="25"/>
      <c r="O10" s="24"/>
    </row>
  </sheetData>
  <mergeCells count="14">
    <mergeCell ref="A5:F5"/>
    <mergeCell ref="G6:L6"/>
    <mergeCell ref="B9:E9"/>
    <mergeCell ref="A10:O10"/>
    <mergeCell ref="D6:D7"/>
    <mergeCell ref="E6:E7"/>
    <mergeCell ref="F6:F7"/>
    <mergeCell ref="M6:M7"/>
    <mergeCell ref="N6:N7"/>
    <mergeCell ref="O6:O7"/>
    <mergeCell ref="A6:A7"/>
    <mergeCell ref="A8:A9"/>
    <mergeCell ref="B6:B7"/>
    <mergeCell ref="C6:C7"/>
  </mergeCells>
  <phoneticPr fontId="6" type="noConversion"/>
  <pageMargins left="0.7" right="0.7" top="0.75" bottom="0.75" header="0.3" footer="0.3"/>
  <pageSetup paperSize="9" orientation="portrait" verticalDpi="300"/>
  <ignoredErrors>
    <ignoredError sqref="G9:J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BFFF-DB8D-C14A-BDCE-551669402201}">
  <dimension ref="A1:O6"/>
  <sheetViews>
    <sheetView workbookViewId="0">
      <selection activeCell="I2" sqref="I2"/>
    </sheetView>
  </sheetViews>
  <sheetFormatPr defaultColWidth="11" defaultRowHeight="14.25"/>
  <cols>
    <col min="8" max="8" width="19.875" customWidth="1"/>
    <col min="9" max="9" width="16.125" customWidth="1"/>
    <col min="10" max="10" width="17.125" customWidth="1"/>
    <col min="11" max="11" width="15.5" customWidth="1"/>
    <col min="12" max="12" width="23.125" customWidth="1"/>
    <col min="14" max="14" width="15.625" customWidth="1"/>
  </cols>
  <sheetData>
    <row r="1" spans="1:15" ht="18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4</v>
      </c>
      <c r="H1" s="11" t="s">
        <v>19</v>
      </c>
      <c r="I1" s="11" t="s">
        <v>20</v>
      </c>
      <c r="J1" s="11" t="s">
        <v>21</v>
      </c>
      <c r="K1" s="12" t="s">
        <v>22</v>
      </c>
      <c r="L1" s="11" t="s">
        <v>23</v>
      </c>
      <c r="M1" s="11" t="s">
        <v>7</v>
      </c>
      <c r="N1" s="13" t="s">
        <v>24</v>
      </c>
      <c r="O1" s="14" t="s">
        <v>6</v>
      </c>
    </row>
    <row r="2" spans="1:15" ht="16.5">
      <c r="A2" s="15" t="s">
        <v>25</v>
      </c>
      <c r="B2" s="16">
        <v>2022</v>
      </c>
      <c r="C2" s="16">
        <v>6</v>
      </c>
      <c r="D2" s="15" t="s">
        <v>26</v>
      </c>
      <c r="E2" s="16" t="s">
        <v>27</v>
      </c>
      <c r="F2" s="16" t="s">
        <v>28</v>
      </c>
      <c r="G2" s="16" t="s">
        <v>27</v>
      </c>
      <c r="H2" s="15"/>
      <c r="I2" s="16" t="s">
        <v>29</v>
      </c>
      <c r="J2" s="15" t="s">
        <v>30</v>
      </c>
      <c r="K2" s="17">
        <v>36000</v>
      </c>
      <c r="L2" s="15">
        <f>K2/10000</f>
        <v>3.6</v>
      </c>
      <c r="M2" s="15">
        <v>0.2</v>
      </c>
      <c r="N2" s="15">
        <f>L2*M2</f>
        <v>0.72000000000000008</v>
      </c>
      <c r="O2" s="15" t="s">
        <v>31</v>
      </c>
    </row>
    <row r="3" spans="1:15" ht="16.5">
      <c r="A3" s="15" t="s">
        <v>25</v>
      </c>
      <c r="B3" s="16">
        <v>2022</v>
      </c>
      <c r="C3" s="16">
        <v>7</v>
      </c>
      <c r="D3" s="15" t="s">
        <v>26</v>
      </c>
      <c r="E3" s="16" t="s">
        <v>27</v>
      </c>
      <c r="F3" s="16" t="s">
        <v>28</v>
      </c>
      <c r="G3" s="16" t="s">
        <v>27</v>
      </c>
      <c r="H3" s="15"/>
      <c r="I3" s="16" t="s">
        <v>29</v>
      </c>
      <c r="J3" s="15" t="s">
        <v>30</v>
      </c>
      <c r="K3" s="17">
        <v>36000</v>
      </c>
      <c r="L3" s="15">
        <f>K3/10000</f>
        <v>3.6</v>
      </c>
      <c r="M3" s="15">
        <v>0.2</v>
      </c>
      <c r="N3" s="15">
        <f t="shared" ref="N3:N6" si="0">L3*M3</f>
        <v>0.72000000000000008</v>
      </c>
      <c r="O3" s="15" t="s">
        <v>31</v>
      </c>
    </row>
    <row r="4" spans="1:15" ht="16.5">
      <c r="A4" s="15" t="s">
        <v>25</v>
      </c>
      <c r="B4" s="16">
        <v>2022</v>
      </c>
      <c r="C4" s="16">
        <v>8</v>
      </c>
      <c r="D4" s="15" t="s">
        <v>26</v>
      </c>
      <c r="E4" s="16" t="s">
        <v>27</v>
      </c>
      <c r="F4" s="16" t="s">
        <v>28</v>
      </c>
      <c r="G4" s="16" t="s">
        <v>27</v>
      </c>
      <c r="H4" s="15"/>
      <c r="I4" s="16" t="s">
        <v>29</v>
      </c>
      <c r="J4" s="15" t="s">
        <v>30</v>
      </c>
      <c r="K4" s="17">
        <v>36000</v>
      </c>
      <c r="L4" s="15">
        <f>K4/10000</f>
        <v>3.6</v>
      </c>
      <c r="M4" s="15">
        <v>0.2</v>
      </c>
      <c r="N4" s="15">
        <f t="shared" si="0"/>
        <v>0.72000000000000008</v>
      </c>
      <c r="O4" s="15" t="s">
        <v>31</v>
      </c>
    </row>
    <row r="5" spans="1:15" ht="16.5">
      <c r="A5" s="15" t="s">
        <v>25</v>
      </c>
      <c r="B5" s="16">
        <v>2022</v>
      </c>
      <c r="C5" s="16">
        <v>9</v>
      </c>
      <c r="D5" s="15" t="s">
        <v>26</v>
      </c>
      <c r="E5" s="16" t="s">
        <v>27</v>
      </c>
      <c r="F5" s="16" t="s">
        <v>28</v>
      </c>
      <c r="G5" s="16" t="s">
        <v>27</v>
      </c>
      <c r="H5" s="15"/>
      <c r="I5" s="16" t="s">
        <v>29</v>
      </c>
      <c r="J5" s="15" t="s">
        <v>30</v>
      </c>
      <c r="K5" s="17">
        <v>36000</v>
      </c>
      <c r="L5" s="15">
        <f>K5/10000</f>
        <v>3.6</v>
      </c>
      <c r="M5" s="15">
        <v>0.2</v>
      </c>
      <c r="N5" s="15">
        <f t="shared" si="0"/>
        <v>0.72000000000000008</v>
      </c>
      <c r="O5" s="15" t="s">
        <v>31</v>
      </c>
    </row>
    <row r="6" spans="1:15" ht="16.5">
      <c r="A6" s="15" t="s">
        <v>25</v>
      </c>
      <c r="B6" s="16">
        <v>2022</v>
      </c>
      <c r="C6" s="16">
        <v>10</v>
      </c>
      <c r="D6" s="15" t="s">
        <v>26</v>
      </c>
      <c r="E6" s="16" t="s">
        <v>27</v>
      </c>
      <c r="F6" s="16" t="s">
        <v>28</v>
      </c>
      <c r="G6" s="16" t="s">
        <v>27</v>
      </c>
      <c r="H6" s="15"/>
      <c r="I6" s="16" t="s">
        <v>29</v>
      </c>
      <c r="J6" s="15" t="s">
        <v>30</v>
      </c>
      <c r="K6" s="17">
        <v>36000</v>
      </c>
      <c r="L6" s="15">
        <f>K6/10000</f>
        <v>3.6</v>
      </c>
      <c r="M6" s="15">
        <v>0.2</v>
      </c>
      <c r="N6" s="15">
        <f t="shared" si="0"/>
        <v>0.72000000000000008</v>
      </c>
      <c r="O6" s="15" t="s">
        <v>31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投放费用汇总</vt:lpstr>
      <vt:lpstr>data</vt:lpstr>
    </vt:vector>
  </TitlesOfParts>
  <Company>PublicisGroupe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Zhou</dc:creator>
  <cp:lastModifiedBy>Leia Lin</cp:lastModifiedBy>
  <dcterms:created xsi:type="dcterms:W3CDTF">2021-12-30T03:05:00Z</dcterms:created>
  <dcterms:modified xsi:type="dcterms:W3CDTF">2023-01-04T11:15:38Z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2052-5.0.0.7550</vt:lpwstr>
  </property>
  <property fmtid="{D5CDD505-2E9C-101B-9397-08002B2CF9AE}" pid="3" name="ICV">
    <vt:lpwstr>70A2EBEF6028C07F151A8E63FAAF42EA</vt:lpwstr>
  </property>
</Properties>
</file>