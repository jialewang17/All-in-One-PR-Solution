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zhou\Desktop\"/>
    </mc:Choice>
  </mc:AlternateContent>
  <xr:revisionPtr revIDLastSave="0" documentId="8_{28B861E6-C97A-4D45-A10C-4E32399C56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投放费用汇总" sheetId="1" r:id="rId1"/>
    <sheet name="data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L7" i="1"/>
  <c r="M6" i="1"/>
  <c r="M7" i="1"/>
  <c r="L4" i="2"/>
  <c r="N4" i="2"/>
  <c r="L3" i="2"/>
  <c r="N3" i="2"/>
  <c r="L2" i="2"/>
  <c r="N2" i="2"/>
  <c r="J7" i="1"/>
  <c r="I7" i="1"/>
  <c r="H7" i="1"/>
  <c r="G7" i="1"/>
  <c r="O6" i="1"/>
  <c r="O7" i="1"/>
</calcChain>
</file>

<file path=xl/sharedStrings.xml><?xml version="1.0" encoding="utf-8"?>
<sst xmlns="http://schemas.openxmlformats.org/spreadsheetml/2006/main" count="60" uniqueCount="36">
  <si>
    <t>单位：万元（刊例价）</t>
  </si>
  <si>
    <t>产品</t>
  </si>
  <si>
    <t>类型</t>
  </si>
  <si>
    <t>类型细分</t>
  </si>
  <si>
    <t>媒体</t>
  </si>
  <si>
    <t>市场</t>
  </si>
  <si>
    <t>单位</t>
  </si>
  <si>
    <t>折扣</t>
  </si>
  <si>
    <t>万元</t>
  </si>
  <si>
    <t>硬广费用合计</t>
  </si>
  <si>
    <t>数据来源：CTR（电视、电台、报纸）、中天户外</t>
    <phoneticPr fontId="6" type="noConversion"/>
  </si>
  <si>
    <t>监测日期：2022年6月-2022年11月</t>
    <phoneticPr fontId="6" type="noConversion"/>
  </si>
  <si>
    <t>媒体类型</t>
  </si>
  <si>
    <t>年</t>
  </si>
  <si>
    <t>月</t>
  </si>
  <si>
    <t>省份</t>
  </si>
  <si>
    <t>媒体大类</t>
    <phoneticPr fontId="8" type="noConversion"/>
  </si>
  <si>
    <t>媒体小类</t>
    <phoneticPr fontId="8" type="noConversion"/>
  </si>
  <si>
    <t>媒体折扣分类</t>
  </si>
  <si>
    <t>产品名称（原）</t>
  </si>
  <si>
    <t>产品名称（调整）</t>
  </si>
  <si>
    <t>刊例花费（元）</t>
  </si>
  <si>
    <t>刊例花费（万元）</t>
  </si>
  <si>
    <t>预估净价（万元）</t>
  </si>
  <si>
    <t>万元</t>
    <phoneticPr fontId="6" type="noConversion"/>
  </si>
  <si>
    <t>2022年6月-2022年11月合计</t>
    <phoneticPr fontId="6" type="noConversion"/>
  </si>
  <si>
    <t>2022年6月-2022年11月折后合计</t>
    <phoneticPr fontId="6" type="noConversion"/>
  </si>
  <si>
    <t>2022年</t>
    <phoneticPr fontId="6" type="noConversion"/>
  </si>
  <si>
    <t>宏济堂阿胶</t>
  </si>
  <si>
    <t>电视</t>
    <phoneticPr fontId="8" type="noConversion"/>
  </si>
  <si>
    <t>浙江</t>
    <phoneticPr fontId="8" type="noConversion"/>
  </si>
  <si>
    <t>省台</t>
    <phoneticPr fontId="6" type="noConversion"/>
  </si>
  <si>
    <t>宏济堂阿胶</t>
    <phoneticPr fontId="6" type="noConversion"/>
  </si>
  <si>
    <t>电视</t>
    <phoneticPr fontId="6" type="noConversion"/>
  </si>
  <si>
    <t>浙江电视台民生休闲频道</t>
    <phoneticPr fontId="6" type="noConversion"/>
  </si>
  <si>
    <t>浙江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</si>
</sst>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_ "/>
  </numFmts>
  <fonts count="1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Microsoft YaHei Regular"/>
      <family val="1"/>
    </font>
    <font>
      <sz val="10"/>
      <name val="Arial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0" fontId="2" fillId="0" borderId="1" xfId="2" applyNumberFormat="1" applyFont="1" applyBorder="1" applyAlignment="1">
      <alignment horizontal="center" vertical="center"/>
    </xf>
    <xf numFmtId="38" fontId="2" fillId="0" borderId="1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8" fontId="2" fillId="0" borderId="2" xfId="2" applyNumberFormat="1" applyFont="1" applyFill="1" applyBorder="1" applyAlignment="1">
      <alignment horizontal="center" vertical="center"/>
    </xf>
    <xf numFmtId="38" fontId="2" fillId="2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8" fontId="2" fillId="3" borderId="2" xfId="2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0" fontId="2" fillId="0" borderId="1" xfId="2" applyNumberFormat="1" applyFont="1" applyBorder="1" applyAlignment="1">
      <alignment horizontal="center" vertical="center"/>
    </xf>
    <xf numFmtId="40" fontId="2" fillId="0" borderId="1" xfId="2" applyNumberFormat="1" applyFont="1" applyFill="1" applyBorder="1" applyAlignment="1">
      <alignment horizontal="center" vertical="center"/>
    </xf>
    <xf numFmtId="40" fontId="2" fillId="2" borderId="1" xfId="2" applyNumberFormat="1" applyFont="1" applyFill="1" applyBorder="1" applyAlignment="1">
      <alignment horizontal="center" vertical="center"/>
    </xf>
    <xf numFmtId="40" fontId="2" fillId="3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0" fontId="2" fillId="0" borderId="4" xfId="2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"/>
  <sheetViews>
    <sheetView showGridLines="0" showZeros="0" tabSelected="1" zoomScale="94" zoomScaleNormal="70" workbookViewId="0">
      <pane xSplit="6" ySplit="5" topLeftCell="G6" activePane="bottomRight" state="frozen"/>
      <selection pane="topRight"/>
      <selection pane="bottomLeft"/>
      <selection pane="bottomRight" activeCell="I6" sqref="I6:K6"/>
    </sheetView>
  </sheetViews>
  <sheetFormatPr defaultColWidth="8.88671875" defaultRowHeight="15.6"/>
  <cols>
    <col min="1" max="1" width="24" style="1" customWidth="1"/>
    <col min="2" max="2" width="8.6640625" style="1" customWidth="1"/>
    <col min="3" max="3" width="11.44140625" style="1" customWidth="1"/>
    <col min="4" max="4" width="43.44140625" style="1" customWidth="1"/>
    <col min="5" max="5" width="14.88671875" style="1" customWidth="1"/>
    <col min="6" max="6" width="12.109375" style="1" customWidth="1"/>
    <col min="7" max="11" width="11.109375" style="2" customWidth="1"/>
    <col min="12" max="12" width="10.109375" style="2" customWidth="1"/>
    <col min="13" max="13" width="25.109375" style="1" customWidth="1"/>
    <col min="14" max="14" width="8.88671875" style="1"/>
    <col min="15" max="15" width="30" style="1" customWidth="1"/>
    <col min="16" max="16384" width="8.88671875" style="1"/>
  </cols>
  <sheetData>
    <row r="1" spans="1:15">
      <c r="A1" s="1" t="s">
        <v>10</v>
      </c>
      <c r="E1" s="2"/>
      <c r="F1" s="2"/>
    </row>
    <row r="2" spans="1:15">
      <c r="A2" s="1" t="s">
        <v>11</v>
      </c>
      <c r="E2" s="2"/>
      <c r="F2" s="2"/>
    </row>
    <row r="3" spans="1:15">
      <c r="A3" s="1" t="s">
        <v>0</v>
      </c>
      <c r="E3" s="2"/>
      <c r="F3" s="2"/>
    </row>
    <row r="4" spans="1:15">
      <c r="A4" s="18" t="s">
        <v>1</v>
      </c>
      <c r="B4" s="18" t="s">
        <v>2</v>
      </c>
      <c r="C4" s="28" t="s">
        <v>3</v>
      </c>
      <c r="D4" s="18" t="s">
        <v>4</v>
      </c>
      <c r="E4" s="18" t="s">
        <v>5</v>
      </c>
      <c r="F4" s="18" t="s">
        <v>6</v>
      </c>
      <c r="G4" s="18" t="s">
        <v>27</v>
      </c>
      <c r="H4" s="18"/>
      <c r="I4" s="18"/>
      <c r="J4" s="18"/>
      <c r="K4" s="18"/>
      <c r="L4" s="18"/>
      <c r="M4" s="26" t="s">
        <v>25</v>
      </c>
      <c r="N4" s="26" t="s">
        <v>7</v>
      </c>
      <c r="O4" s="26" t="s">
        <v>26</v>
      </c>
    </row>
    <row r="5" spans="1:15">
      <c r="A5" s="18"/>
      <c r="B5" s="18"/>
      <c r="C5" s="29"/>
      <c r="D5" s="18"/>
      <c r="E5" s="18"/>
      <c r="F5" s="18"/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26"/>
      <c r="N5" s="26"/>
      <c r="O5" s="26"/>
    </row>
    <row r="6" spans="1:15">
      <c r="A6" s="22" t="s">
        <v>32</v>
      </c>
      <c r="B6" s="4" t="s">
        <v>33</v>
      </c>
      <c r="C6" s="4" t="s">
        <v>31</v>
      </c>
      <c r="D6" s="16" t="s">
        <v>34</v>
      </c>
      <c r="E6" s="4" t="s">
        <v>35</v>
      </c>
      <c r="F6" s="4" t="s">
        <v>8</v>
      </c>
      <c r="G6" s="5"/>
      <c r="H6" s="5"/>
      <c r="I6" s="5">
        <v>56.65</v>
      </c>
      <c r="J6" s="5">
        <v>56.65</v>
      </c>
      <c r="K6" s="5">
        <v>139.81200000000001</v>
      </c>
      <c r="L6" s="5"/>
      <c r="M6" s="8">
        <f>SUM(G6:L6)</f>
        <v>253.11200000000002</v>
      </c>
      <c r="N6" s="9">
        <v>0.3</v>
      </c>
      <c r="O6" s="8">
        <f>M6*N6</f>
        <v>75.933599999999998</v>
      </c>
    </row>
    <row r="7" spans="1:15">
      <c r="A7" s="27"/>
      <c r="B7" s="19" t="s">
        <v>9</v>
      </c>
      <c r="C7" s="20"/>
      <c r="D7" s="20"/>
      <c r="E7" s="21"/>
      <c r="F7" s="6" t="s">
        <v>8</v>
      </c>
      <c r="G7" s="7">
        <f>SUM(G6:G6)</f>
        <v>0</v>
      </c>
      <c r="H7" s="7">
        <f>SUM(H6:H6)</f>
        <v>0</v>
      </c>
      <c r="I7" s="7">
        <f>SUM(I6:I6)</f>
        <v>56.65</v>
      </c>
      <c r="J7" s="7">
        <f>SUM(J6:J6)</f>
        <v>56.65</v>
      </c>
      <c r="K7" s="7">
        <f t="shared" ref="K7:L7" si="0">SUM(K6:K6)</f>
        <v>139.81200000000001</v>
      </c>
      <c r="L7" s="7">
        <f t="shared" si="0"/>
        <v>0</v>
      </c>
      <c r="M7" s="10">
        <f>SUM(M6:M6)</f>
        <v>253.11200000000002</v>
      </c>
      <c r="N7" s="10"/>
      <c r="O7" s="10">
        <f>SUM(O6:O6)</f>
        <v>75.933599999999998</v>
      </c>
    </row>
    <row r="8" spans="1:15">
      <c r="A8" s="22"/>
      <c r="B8" s="22"/>
      <c r="C8" s="22"/>
      <c r="D8" s="22"/>
      <c r="E8" s="22"/>
      <c r="F8" s="22"/>
      <c r="G8" s="23"/>
      <c r="H8" s="23"/>
      <c r="I8" s="23"/>
      <c r="J8" s="23"/>
      <c r="K8" s="23"/>
      <c r="L8" s="23"/>
      <c r="M8" s="24"/>
      <c r="N8" s="25"/>
      <c r="O8" s="24"/>
    </row>
  </sheetData>
  <mergeCells count="13">
    <mergeCell ref="G4:L4"/>
    <mergeCell ref="B7:E7"/>
    <mergeCell ref="A8:O8"/>
    <mergeCell ref="D4:D5"/>
    <mergeCell ref="E4:E5"/>
    <mergeCell ref="F4:F5"/>
    <mergeCell ref="M4:M5"/>
    <mergeCell ref="N4:N5"/>
    <mergeCell ref="O4:O5"/>
    <mergeCell ref="A4:A5"/>
    <mergeCell ref="A6:A7"/>
    <mergeCell ref="B4:B5"/>
    <mergeCell ref="C4:C5"/>
  </mergeCells>
  <phoneticPr fontId="6" type="noConversion"/>
  <pageMargins left="0.7" right="0.7" top="0.75" bottom="0.75" header="0.3" footer="0.3"/>
  <pageSetup paperSize="9" orientation="portrait" verticalDpi="300"/>
  <ignoredErrors>
    <ignoredError sqref="G7:J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FFF-DB8D-C14A-BDCE-551669402201}">
  <dimension ref="A1:O4"/>
  <sheetViews>
    <sheetView workbookViewId="0">
      <selection activeCell="M13" sqref="M13:M14"/>
    </sheetView>
  </sheetViews>
  <sheetFormatPr defaultColWidth="11" defaultRowHeight="13.8"/>
  <cols>
    <col min="7" max="7" width="24.33203125" customWidth="1"/>
    <col min="8" max="8" width="19.88671875" customWidth="1"/>
    <col min="9" max="9" width="16.109375" customWidth="1"/>
    <col min="10" max="10" width="17.109375" customWidth="1"/>
    <col min="11" max="11" width="15.44140625" customWidth="1"/>
    <col min="12" max="12" width="23.109375" customWidth="1"/>
    <col min="14" max="14" width="20.44140625" customWidth="1"/>
  </cols>
  <sheetData>
    <row r="1" spans="1:15" ht="17.399999999999999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4</v>
      </c>
      <c r="H1" s="11" t="s">
        <v>18</v>
      </c>
      <c r="I1" s="11" t="s">
        <v>19</v>
      </c>
      <c r="J1" s="11" t="s">
        <v>20</v>
      </c>
      <c r="K1" s="12" t="s">
        <v>21</v>
      </c>
      <c r="L1" s="11" t="s">
        <v>22</v>
      </c>
      <c r="M1" s="11" t="s">
        <v>7</v>
      </c>
      <c r="N1" s="13" t="s">
        <v>23</v>
      </c>
      <c r="O1" s="14" t="s">
        <v>6</v>
      </c>
    </row>
    <row r="2" spans="1:15" ht="15">
      <c r="A2" s="15" t="s">
        <v>29</v>
      </c>
      <c r="B2" s="16">
        <v>2022</v>
      </c>
      <c r="C2" s="16">
        <v>8</v>
      </c>
      <c r="D2" s="15" t="s">
        <v>30</v>
      </c>
      <c r="E2" s="16" t="s">
        <v>31</v>
      </c>
      <c r="F2" s="16"/>
      <c r="G2" s="16" t="s">
        <v>34</v>
      </c>
      <c r="H2" s="16" t="s">
        <v>31</v>
      </c>
      <c r="I2" s="16" t="s">
        <v>32</v>
      </c>
      <c r="J2" s="16" t="s">
        <v>28</v>
      </c>
      <c r="K2" s="17">
        <v>566500</v>
      </c>
      <c r="L2" s="15">
        <f>K2/10000</f>
        <v>56.65</v>
      </c>
      <c r="M2" s="15">
        <v>0.3</v>
      </c>
      <c r="N2" s="15">
        <f>L2*M2</f>
        <v>16.994999999999997</v>
      </c>
      <c r="O2" s="15" t="s">
        <v>24</v>
      </c>
    </row>
    <row r="3" spans="1:15" ht="15">
      <c r="A3" s="15" t="s">
        <v>29</v>
      </c>
      <c r="B3" s="16">
        <v>2022</v>
      </c>
      <c r="C3" s="16">
        <v>9</v>
      </c>
      <c r="D3" s="15" t="s">
        <v>30</v>
      </c>
      <c r="E3" s="16" t="s">
        <v>31</v>
      </c>
      <c r="F3" s="16"/>
      <c r="G3" s="16" t="s">
        <v>34</v>
      </c>
      <c r="H3" s="16" t="s">
        <v>31</v>
      </c>
      <c r="I3" s="16" t="s">
        <v>28</v>
      </c>
      <c r="J3" s="16" t="s">
        <v>28</v>
      </c>
      <c r="K3" s="17">
        <v>566500</v>
      </c>
      <c r="L3" s="15">
        <f>K3/10000</f>
        <v>56.65</v>
      </c>
      <c r="M3" s="15">
        <v>0.3</v>
      </c>
      <c r="N3" s="15">
        <f>L3*M3</f>
        <v>16.994999999999997</v>
      </c>
      <c r="O3" s="15" t="s">
        <v>24</v>
      </c>
    </row>
    <row r="4" spans="1:15" ht="15">
      <c r="A4" s="15" t="s">
        <v>29</v>
      </c>
      <c r="B4" s="16">
        <v>2022</v>
      </c>
      <c r="C4" s="16">
        <v>10</v>
      </c>
      <c r="D4" s="15" t="s">
        <v>30</v>
      </c>
      <c r="E4" s="16" t="s">
        <v>31</v>
      </c>
      <c r="F4" s="16"/>
      <c r="G4" s="16" t="s">
        <v>34</v>
      </c>
      <c r="H4" s="16" t="s">
        <v>31</v>
      </c>
      <c r="I4" s="16" t="s">
        <v>28</v>
      </c>
      <c r="J4" s="16" t="s">
        <v>28</v>
      </c>
      <c r="K4" s="17">
        <v>1398120</v>
      </c>
      <c r="L4" s="15">
        <f>K4/10000</f>
        <v>139.81200000000001</v>
      </c>
      <c r="M4" s="15">
        <v>0.3</v>
      </c>
      <c r="N4" s="15">
        <f>L4*M4</f>
        <v>41.943600000000004</v>
      </c>
      <c r="O4" s="15" t="s">
        <v>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投放费用汇总</vt:lpstr>
      <vt:lpstr>data</vt:lpstr>
    </vt:vector>
  </TitlesOfParts>
  <Company>PublicisGroupe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Sarah Zhou</cp:lastModifiedBy>
  <dcterms:created xsi:type="dcterms:W3CDTF">2021-12-30T03:05:00Z</dcterms:created>
  <dcterms:modified xsi:type="dcterms:W3CDTF">2023-01-16T14:01:50Z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70A2EBEF6028C07F151A8E63FAAF42EA</vt:lpwstr>
  </property>
</Properties>
</file>