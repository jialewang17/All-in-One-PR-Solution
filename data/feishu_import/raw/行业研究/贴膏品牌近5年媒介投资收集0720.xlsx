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rzhou\Desktop\"/>
    </mc:Choice>
  </mc:AlternateContent>
  <xr:revisionPtr revIDLastSave="0" documentId="13_ncr:1_{3322059F-B559-49B8-B2AF-45BC583F6073}" xr6:coauthVersionLast="47" xr6:coauthVersionMax="47" xr10:uidLastSave="{00000000-0000-0000-0000-000000000000}"/>
  <bookViews>
    <workbookView xWindow="28680" yWindow="-120" windowWidth="24240" windowHeight="17640" xr2:uid="{00000000-000D-0000-FFFF-FFFF00000000}"/>
  </bookViews>
  <sheets>
    <sheet name="整体" sheetId="1" r:id="rId1"/>
    <sheet name="天和分省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4" l="1"/>
  <c r="H13" i="4"/>
  <c r="F10" i="4"/>
  <c r="F14" i="4"/>
  <c r="K16" i="4"/>
  <c r="L12" i="4" s="1"/>
  <c r="I16" i="4"/>
  <c r="J12" i="4" s="1"/>
  <c r="G16" i="4"/>
  <c r="H11" i="4" s="1"/>
  <c r="E16" i="4"/>
  <c r="F11" i="4" s="1"/>
  <c r="K21" i="1"/>
  <c r="I21" i="1"/>
  <c r="G21" i="1"/>
  <c r="E21" i="1"/>
  <c r="M17" i="1"/>
  <c r="I17" i="1"/>
  <c r="G17" i="1"/>
  <c r="E17" i="1"/>
  <c r="M13" i="1"/>
  <c r="I12" i="1"/>
  <c r="G12" i="1"/>
  <c r="E12" i="1"/>
  <c r="M10" i="1"/>
  <c r="K10" i="1"/>
  <c r="G10" i="1"/>
  <c r="E10" i="1"/>
  <c r="J16" i="4" l="1"/>
  <c r="J15" i="4"/>
  <c r="H10" i="4"/>
  <c r="H15" i="4"/>
  <c r="L9" i="4"/>
  <c r="L16" i="4" s="1"/>
  <c r="F9" i="4"/>
  <c r="H14" i="4"/>
  <c r="F13" i="4"/>
  <c r="H12" i="4"/>
  <c r="F12" i="4"/>
  <c r="F16" i="4" l="1"/>
  <c r="H16" i="4"/>
</calcChain>
</file>

<file path=xl/sharedStrings.xml><?xml version="1.0" encoding="utf-8"?>
<sst xmlns="http://schemas.openxmlformats.org/spreadsheetml/2006/main" count="64" uniqueCount="36">
  <si>
    <r>
      <t>数据说明：</t>
    </r>
    <r>
      <rPr>
        <sz val="11"/>
        <color theme="1"/>
        <rFont val="宋体"/>
        <family val="3"/>
        <charset val="134"/>
        <scheme val="minor"/>
      </rPr>
      <t xml:space="preserve">
1.拉取近5年各品牌方媒介总投资金额（2017-2021年）
2.拉取近5年各品牌核心品种媒介总投资金额（2017-2021年）
3.天和需增加看下媒介投资省份（2017-2021年）</t>
    </r>
  </si>
  <si>
    <t>品牌方</t>
  </si>
  <si>
    <t>品种</t>
  </si>
  <si>
    <t>年份</t>
  </si>
  <si>
    <t>奇正</t>
  </si>
  <si>
    <t>消痛贴膏(西藏奇正藏药股份有限公司)</t>
  </si>
  <si>
    <t>品牌总媒介投资</t>
  </si>
  <si>
    <t>羚锐</t>
  </si>
  <si>
    <t>通络祛痛膏(河南羚锐制药股份有限公司)</t>
  </si>
  <si>
    <t>壮骨麝香止痛膏(河南羚锐制药股份有限公司)</t>
  </si>
  <si>
    <t>麝香壮骨膏(河南羚锐制药股份有限公司)</t>
  </si>
  <si>
    <t>伤湿止痛膏(河南羚锐制药股份有限公司)</t>
  </si>
  <si>
    <t>云南白药</t>
  </si>
  <si>
    <t>云南白药膏(云南白药集团无锡药业有限公司)</t>
  </si>
  <si>
    <t>余良卿</t>
  </si>
  <si>
    <t>活血止痛膏(安徽安科余良卿药业有限公司)</t>
  </si>
  <si>
    <t>天和</t>
  </si>
  <si>
    <t>骨通贴膏(桂林华润天和药业有限公司)</t>
  </si>
  <si>
    <t>麝香壮骨膏(桂林华润天和药业有限公司)</t>
  </si>
  <si>
    <t>费用</t>
    <phoneticPr fontId="3" type="noConversion"/>
  </si>
  <si>
    <t>占比</t>
    <phoneticPr fontId="3" type="noConversion"/>
  </si>
  <si>
    <t>天和</t>
    <phoneticPr fontId="3" type="noConversion"/>
  </si>
  <si>
    <t>骨通贴膏(桂林华润天和药业有限公司)</t>
    <phoneticPr fontId="3" type="noConversion"/>
  </si>
  <si>
    <t>数据来源：CTR（电视、电台、报纸、杂志）、中天星河（户外）、艾瑞（网络）</t>
    <phoneticPr fontId="3" type="noConversion"/>
  </si>
  <si>
    <t>备注：产品名称按监测系统导出划分；云南白药品牌不包含护肤、洗涤用品，其余药品相关的产品均包含）</t>
    <phoneticPr fontId="3" type="noConversion"/>
  </si>
  <si>
    <t>河南省</t>
  </si>
  <si>
    <t>湖南省</t>
  </si>
  <si>
    <t>广东省</t>
  </si>
  <si>
    <t>山东省</t>
  </si>
  <si>
    <t>全国</t>
  </si>
  <si>
    <t>浙江省</t>
  </si>
  <si>
    <t>广西省</t>
    <phoneticPr fontId="3" type="noConversion"/>
  </si>
  <si>
    <t>总计</t>
    <phoneticPr fontId="3" type="noConversion"/>
  </si>
  <si>
    <r>
      <t>数据说明：</t>
    </r>
    <r>
      <rPr>
        <sz val="11"/>
        <color theme="1"/>
        <rFont val="微软雅黑"/>
        <family val="2"/>
        <charset val="134"/>
      </rPr>
      <t xml:space="preserve">
1.拉取近5年各品牌方媒介总投资金额（2017-2021年）
2.拉取近5年各品牌核心品种媒介总投资金额（2017-2021年）
3.天和需增加看下媒介投资省份（2017-2021年）</t>
    </r>
  </si>
  <si>
    <t>奇正</t>
    <phoneticPr fontId="3" type="noConversion"/>
  </si>
  <si>
    <t>铁棒锤止痛(甘肃奇正藏药)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</si>
</sst>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 "/>
    <numFmt numFmtId="177" formatCode="#,##0.0_ "/>
    <numFmt numFmtId="178" formatCode="0.0%"/>
    <numFmt numFmtId="179" formatCode="0.000%"/>
  </numFmts>
  <fonts count="7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4" fillId="0" borderId="0" applyFon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9" fontId="1" fillId="3" borderId="1" xfId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9" fontId="5" fillId="0" borderId="1" xfId="1" applyFont="1" applyFill="1" applyBorder="1" applyAlignment="1">
      <alignment horizontal="center" vertical="center" wrapText="1"/>
    </xf>
    <xf numFmtId="178" fontId="5" fillId="0" borderId="1" xfId="1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9" fontId="5" fillId="0" borderId="1" xfId="0" applyNumberFormat="1" applyFont="1" applyFill="1" applyBorder="1" applyAlignment="1">
      <alignment horizontal="center" vertical="center" wrapText="1"/>
    </xf>
    <xf numFmtId="177" fontId="5" fillId="0" borderId="1" xfId="0" applyNumberFormat="1" applyFont="1" applyFill="1" applyBorder="1" applyAlignment="1">
      <alignment horizontal="center" vertical="center" wrapText="1"/>
    </xf>
    <xf numFmtId="179" fontId="5" fillId="0" borderId="1" xfId="1" applyNumberFormat="1" applyFont="1" applyFill="1" applyBorder="1" applyAlignment="1">
      <alignment horizontal="center" vertical="center" wrapText="1"/>
    </xf>
    <xf numFmtId="9" fontId="5" fillId="0" borderId="1" xfId="1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9" fontId="5" fillId="0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176" fontId="5" fillId="5" borderId="1" xfId="0" applyNumberFormat="1" applyFont="1" applyFill="1" applyBorder="1" applyAlignment="1">
      <alignment horizontal="center" vertical="center" wrapText="1"/>
    </xf>
    <xf numFmtId="9" fontId="5" fillId="5" borderId="1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9" fontId="5" fillId="5" borderId="1" xfId="1" applyFont="1" applyFill="1" applyBorder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M27"/>
  <sheetViews>
    <sheetView tabSelected="1" workbookViewId="0">
      <pane xSplit="3" ySplit="9" topLeftCell="D19" activePane="bottomRight" state="frozen"/>
      <selection pane="topRight" activeCell="D1" sqref="D1"/>
      <selection pane="bottomLeft" activeCell="A10" sqref="A10"/>
      <selection pane="bottomRight" activeCell="F28" sqref="F28"/>
    </sheetView>
  </sheetViews>
  <sheetFormatPr defaultColWidth="8.77734375" defaultRowHeight="15.6" x14ac:dyDescent="0.25"/>
  <cols>
    <col min="1" max="1" width="1.6640625" style="12" customWidth="1"/>
    <col min="2" max="2" width="8.77734375" style="12"/>
    <col min="3" max="5" width="15.44140625" style="13" customWidth="1"/>
    <col min="6" max="9" width="15.44140625" style="14" customWidth="1"/>
    <col min="10" max="13" width="15.44140625" style="13" customWidth="1"/>
    <col min="14" max="14" width="1.44140625" style="12" customWidth="1"/>
    <col min="15" max="16384" width="8.77734375" style="12"/>
  </cols>
  <sheetData>
    <row r="1" spans="2:13" x14ac:dyDescent="0.25">
      <c r="B1" s="12" t="s">
        <v>23</v>
      </c>
    </row>
    <row r="2" spans="2:13" x14ac:dyDescent="0.25">
      <c r="B2" s="12" t="s">
        <v>24</v>
      </c>
    </row>
    <row r="4" spans="2:13" ht="7.95" customHeight="1" x14ac:dyDescent="0.25"/>
    <row r="5" spans="2:13" ht="40.950000000000003" customHeight="1" x14ac:dyDescent="0.25">
      <c r="B5" s="30" t="s">
        <v>33</v>
      </c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</row>
    <row r="6" spans="2:13" ht="28.2" customHeight="1" x14ac:dyDescent="0.25"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</row>
    <row r="7" spans="2:13" x14ac:dyDescent="0.25">
      <c r="B7" s="33" t="s">
        <v>1</v>
      </c>
      <c r="C7" s="29" t="s">
        <v>2</v>
      </c>
      <c r="D7" s="29" t="s">
        <v>3</v>
      </c>
      <c r="E7" s="29"/>
      <c r="F7" s="29"/>
      <c r="G7" s="29"/>
      <c r="H7" s="29"/>
      <c r="I7" s="29"/>
      <c r="J7" s="29"/>
      <c r="K7" s="29"/>
      <c r="L7" s="29"/>
      <c r="M7" s="29"/>
    </row>
    <row r="8" spans="2:13" x14ac:dyDescent="0.25">
      <c r="B8" s="33"/>
      <c r="C8" s="29"/>
      <c r="D8" s="31">
        <v>2017</v>
      </c>
      <c r="E8" s="32"/>
      <c r="F8" s="31">
        <v>2018</v>
      </c>
      <c r="G8" s="32"/>
      <c r="H8" s="31">
        <v>2019</v>
      </c>
      <c r="I8" s="32"/>
      <c r="J8" s="31">
        <v>2020</v>
      </c>
      <c r="K8" s="32"/>
      <c r="L8" s="31">
        <v>2021</v>
      </c>
      <c r="M8" s="32"/>
    </row>
    <row r="9" spans="2:13" x14ac:dyDescent="0.25">
      <c r="B9" s="15"/>
      <c r="C9" s="16"/>
      <c r="D9" s="16" t="s">
        <v>19</v>
      </c>
      <c r="E9" s="16" t="s">
        <v>20</v>
      </c>
      <c r="F9" s="16" t="s">
        <v>19</v>
      </c>
      <c r="G9" s="16" t="s">
        <v>20</v>
      </c>
      <c r="H9" s="16" t="s">
        <v>19</v>
      </c>
      <c r="I9" s="16" t="s">
        <v>20</v>
      </c>
      <c r="J9" s="16" t="s">
        <v>19</v>
      </c>
      <c r="K9" s="16" t="s">
        <v>20</v>
      </c>
      <c r="L9" s="16" t="s">
        <v>19</v>
      </c>
      <c r="M9" s="16" t="s">
        <v>20</v>
      </c>
    </row>
    <row r="10" spans="2:13" ht="46.8" x14ac:dyDescent="0.25">
      <c r="B10" s="34" t="s">
        <v>4</v>
      </c>
      <c r="C10" s="8" t="s">
        <v>5</v>
      </c>
      <c r="D10" s="9">
        <v>4715.5452999999998</v>
      </c>
      <c r="E10" s="10">
        <f>D10/D11</f>
        <v>0.98812287918660002</v>
      </c>
      <c r="F10" s="9">
        <v>3968.4663</v>
      </c>
      <c r="G10" s="10">
        <f>F10/F11</f>
        <v>1</v>
      </c>
      <c r="H10" s="9"/>
      <c r="I10" s="8"/>
      <c r="J10" s="9">
        <v>0.65</v>
      </c>
      <c r="K10" s="10">
        <f>J10/J11</f>
        <v>5.8128512303570346E-3</v>
      </c>
      <c r="L10" s="9">
        <v>16.97</v>
      </c>
      <c r="M10" s="10">
        <f>L10/L11</f>
        <v>0.37736268623526792</v>
      </c>
    </row>
    <row r="11" spans="2:13" x14ac:dyDescent="0.25">
      <c r="B11" s="34"/>
      <c r="C11" s="8" t="s">
        <v>6</v>
      </c>
      <c r="D11" s="9">
        <v>4772.2255999999998</v>
      </c>
      <c r="E11" s="17">
        <v>1</v>
      </c>
      <c r="F11" s="9">
        <v>3968.4663</v>
      </c>
      <c r="G11" s="17">
        <v>1</v>
      </c>
      <c r="H11" s="9"/>
      <c r="I11" s="17"/>
      <c r="J11" s="9">
        <v>111.8212</v>
      </c>
      <c r="K11" s="17">
        <v>1</v>
      </c>
      <c r="L11" s="9">
        <v>44.97</v>
      </c>
      <c r="M11" s="17">
        <v>1</v>
      </c>
    </row>
    <row r="12" spans="2:13" ht="46.8" x14ac:dyDescent="0.25">
      <c r="B12" s="34" t="s">
        <v>7</v>
      </c>
      <c r="C12" s="8" t="s">
        <v>8</v>
      </c>
      <c r="D12" s="9">
        <v>67.64</v>
      </c>
      <c r="E12" s="10">
        <f>D12/D16</f>
        <v>1</v>
      </c>
      <c r="F12" s="9">
        <v>34.1</v>
      </c>
      <c r="G12" s="10">
        <f>F12/F16</f>
        <v>0.70454545454545447</v>
      </c>
      <c r="H12" s="9">
        <v>19</v>
      </c>
      <c r="I12" s="10">
        <f>H12/H16</f>
        <v>0.59282371294851788</v>
      </c>
      <c r="J12" s="9"/>
      <c r="K12" s="8"/>
      <c r="L12" s="9"/>
      <c r="M12" s="8"/>
    </row>
    <row r="13" spans="2:13" ht="46.8" x14ac:dyDescent="0.25">
      <c r="B13" s="34"/>
      <c r="C13" s="8" t="s">
        <v>9</v>
      </c>
      <c r="D13" s="9"/>
      <c r="E13" s="8"/>
      <c r="F13" s="9"/>
      <c r="G13" s="8"/>
      <c r="H13" s="9"/>
      <c r="I13" s="8"/>
      <c r="J13" s="9"/>
      <c r="K13" s="8"/>
      <c r="L13" s="18">
        <v>0.43</v>
      </c>
      <c r="M13" s="10">
        <f>L13/L16</f>
        <v>1</v>
      </c>
    </row>
    <row r="14" spans="2:13" ht="46.8" x14ac:dyDescent="0.25">
      <c r="B14" s="34"/>
      <c r="C14" s="23" t="s">
        <v>10</v>
      </c>
      <c r="D14" s="24"/>
      <c r="E14" s="23"/>
      <c r="F14" s="24"/>
      <c r="G14" s="23"/>
      <c r="H14" s="24"/>
      <c r="I14" s="23"/>
      <c r="J14" s="24"/>
      <c r="K14" s="23"/>
      <c r="L14" s="24"/>
      <c r="M14" s="23"/>
    </row>
    <row r="15" spans="2:13" ht="46.8" x14ac:dyDescent="0.25">
      <c r="B15" s="34"/>
      <c r="C15" s="23" t="s">
        <v>11</v>
      </c>
      <c r="D15" s="24"/>
      <c r="E15" s="23"/>
      <c r="F15" s="24"/>
      <c r="G15" s="23"/>
      <c r="H15" s="24"/>
      <c r="I15" s="23"/>
      <c r="J15" s="24"/>
      <c r="K15" s="23"/>
      <c r="L15" s="24"/>
      <c r="M15" s="23"/>
    </row>
    <row r="16" spans="2:13" x14ac:dyDescent="0.25">
      <c r="B16" s="34"/>
      <c r="C16" s="8" t="s">
        <v>6</v>
      </c>
      <c r="D16" s="9">
        <v>67.64</v>
      </c>
      <c r="E16" s="17">
        <v>1</v>
      </c>
      <c r="F16" s="9">
        <v>48.400000000000006</v>
      </c>
      <c r="G16" s="17">
        <v>1</v>
      </c>
      <c r="H16" s="9">
        <v>32.050000000000004</v>
      </c>
      <c r="I16" s="17">
        <v>1</v>
      </c>
      <c r="J16" s="9">
        <v>12.98</v>
      </c>
      <c r="K16" s="17">
        <v>1</v>
      </c>
      <c r="L16" s="18">
        <v>0.43</v>
      </c>
      <c r="M16" s="17">
        <v>1</v>
      </c>
    </row>
    <row r="17" spans="2:13" ht="46.8" x14ac:dyDescent="0.25">
      <c r="B17" s="26" t="s">
        <v>12</v>
      </c>
      <c r="C17" s="8" t="s">
        <v>13</v>
      </c>
      <c r="D17" s="9">
        <v>4869.5667000000003</v>
      </c>
      <c r="E17" s="10">
        <f>D17/D18</f>
        <v>4.6632290726396554E-2</v>
      </c>
      <c r="F17" s="9">
        <v>127.63500000000001</v>
      </c>
      <c r="G17" s="11">
        <f>F17/F18</f>
        <v>1.4210740404670867E-3</v>
      </c>
      <c r="H17" s="9">
        <v>1.9700000000000002</v>
      </c>
      <c r="I17" s="19">
        <f>H17/H18</f>
        <v>4.3022299600048325E-5</v>
      </c>
      <c r="J17" s="9"/>
      <c r="K17" s="8"/>
      <c r="L17" s="9">
        <v>17411.128399999998</v>
      </c>
      <c r="M17" s="20">
        <f>L17/L18</f>
        <v>0.23572854555467396</v>
      </c>
    </row>
    <row r="18" spans="2:13" x14ac:dyDescent="0.25">
      <c r="B18" s="27"/>
      <c r="C18" s="8" t="s">
        <v>6</v>
      </c>
      <c r="D18" s="9">
        <v>104424.78</v>
      </c>
      <c r="E18" s="17">
        <v>1</v>
      </c>
      <c r="F18" s="9">
        <v>89815.869100000025</v>
      </c>
      <c r="G18" s="17">
        <v>1</v>
      </c>
      <c r="H18" s="9">
        <v>45790.206900000005</v>
      </c>
      <c r="I18" s="17">
        <v>1</v>
      </c>
      <c r="J18" s="9">
        <v>79135.005799999897</v>
      </c>
      <c r="K18" s="17">
        <v>1</v>
      </c>
      <c r="L18" s="9">
        <v>73860.924899999984</v>
      </c>
      <c r="M18" s="17">
        <v>1</v>
      </c>
    </row>
    <row r="19" spans="2:13" ht="46.8" x14ac:dyDescent="0.25">
      <c r="B19" s="26" t="s">
        <v>14</v>
      </c>
      <c r="C19" s="23" t="s">
        <v>15</v>
      </c>
      <c r="D19" s="24"/>
      <c r="E19" s="23"/>
      <c r="F19" s="24"/>
      <c r="G19" s="23"/>
      <c r="H19" s="24"/>
      <c r="I19" s="23"/>
      <c r="J19" s="24"/>
      <c r="K19" s="23"/>
      <c r="L19" s="24"/>
      <c r="M19" s="23"/>
    </row>
    <row r="20" spans="2:13" x14ac:dyDescent="0.25">
      <c r="B20" s="27"/>
      <c r="C20" s="23" t="s">
        <v>6</v>
      </c>
      <c r="D20" s="24"/>
      <c r="E20" s="25"/>
      <c r="F20" s="24"/>
      <c r="G20" s="25"/>
      <c r="H20" s="24"/>
      <c r="I20" s="25"/>
      <c r="J20" s="24"/>
      <c r="K20" s="25"/>
      <c r="L20" s="24"/>
      <c r="M20" s="25"/>
    </row>
    <row r="21" spans="2:13" ht="46.8" x14ac:dyDescent="0.25">
      <c r="B21" s="26" t="s">
        <v>16</v>
      </c>
      <c r="C21" s="8" t="s">
        <v>17</v>
      </c>
      <c r="D21" s="9">
        <v>25629.074000000001</v>
      </c>
      <c r="E21" s="10">
        <f>D21/D23</f>
        <v>1</v>
      </c>
      <c r="F21" s="9">
        <v>70914.272200000007</v>
      </c>
      <c r="G21" s="10">
        <f>F21/F23</f>
        <v>1</v>
      </c>
      <c r="H21" s="9">
        <v>4714.0555000000004</v>
      </c>
      <c r="I21" s="10">
        <f>H21/H23</f>
        <v>1</v>
      </c>
      <c r="J21" s="9">
        <v>120.71</v>
      </c>
      <c r="K21" s="10">
        <f>J21/J23</f>
        <v>1</v>
      </c>
      <c r="L21" s="9"/>
      <c r="M21" s="8"/>
    </row>
    <row r="22" spans="2:13" ht="46.8" x14ac:dyDescent="0.25">
      <c r="B22" s="28"/>
      <c r="C22" s="23" t="s">
        <v>18</v>
      </c>
      <c r="D22" s="24"/>
      <c r="E22" s="23"/>
      <c r="F22" s="24"/>
      <c r="G22" s="23"/>
      <c r="H22" s="24"/>
      <c r="I22" s="23"/>
      <c r="J22" s="24"/>
      <c r="K22" s="23"/>
      <c r="L22" s="24"/>
      <c r="M22" s="23"/>
    </row>
    <row r="23" spans="2:13" x14ac:dyDescent="0.25">
      <c r="B23" s="27"/>
      <c r="C23" s="21" t="s">
        <v>6</v>
      </c>
      <c r="D23" s="9">
        <v>25629.074000000001</v>
      </c>
      <c r="E23" s="17">
        <v>1</v>
      </c>
      <c r="F23" s="9">
        <v>70914.272200000007</v>
      </c>
      <c r="G23" s="17">
        <v>1</v>
      </c>
      <c r="H23" s="9">
        <v>4714.0555000000004</v>
      </c>
      <c r="I23" s="17">
        <v>1</v>
      </c>
      <c r="J23" s="9">
        <v>120.71</v>
      </c>
      <c r="K23" s="17">
        <v>1</v>
      </c>
      <c r="L23" s="9"/>
      <c r="M23" s="17"/>
    </row>
    <row r="24" spans="2:13" ht="31.2" x14ac:dyDescent="0.25">
      <c r="B24" s="26" t="s">
        <v>34</v>
      </c>
      <c r="C24" s="23" t="s">
        <v>35</v>
      </c>
      <c r="D24" s="24"/>
      <c r="E24" s="41"/>
      <c r="F24" s="24"/>
      <c r="G24" s="41"/>
      <c r="H24" s="24"/>
      <c r="I24" s="41"/>
      <c r="J24" s="24"/>
      <c r="K24" s="41"/>
      <c r="L24" s="24"/>
      <c r="M24" s="23"/>
    </row>
    <row r="25" spans="2:13" x14ac:dyDescent="0.25">
      <c r="B25" s="27"/>
      <c r="C25" s="21" t="s">
        <v>6</v>
      </c>
      <c r="D25" s="9">
        <v>4772.2255999999998</v>
      </c>
      <c r="E25" s="17">
        <v>1</v>
      </c>
      <c r="F25" s="9">
        <v>3968.4663</v>
      </c>
      <c r="G25" s="17">
        <v>1</v>
      </c>
      <c r="H25" s="9"/>
      <c r="I25" s="17"/>
      <c r="J25" s="9">
        <v>111.8212</v>
      </c>
      <c r="K25" s="17">
        <v>1</v>
      </c>
      <c r="L25" s="9">
        <v>44.97</v>
      </c>
      <c r="M25" s="17">
        <v>1</v>
      </c>
    </row>
    <row r="27" spans="2:13" x14ac:dyDescent="0.25">
      <c r="F27" s="13"/>
      <c r="G27" s="13"/>
      <c r="H27" s="13"/>
      <c r="I27" s="13"/>
    </row>
  </sheetData>
  <mergeCells count="15">
    <mergeCell ref="B24:B25"/>
    <mergeCell ref="B19:B20"/>
    <mergeCell ref="B21:B23"/>
    <mergeCell ref="C7:C8"/>
    <mergeCell ref="B5:M6"/>
    <mergeCell ref="D8:E8"/>
    <mergeCell ref="L8:M8"/>
    <mergeCell ref="J8:K8"/>
    <mergeCell ref="H8:I8"/>
    <mergeCell ref="F8:G8"/>
    <mergeCell ref="D7:M7"/>
    <mergeCell ref="B7:B8"/>
    <mergeCell ref="B10:B11"/>
    <mergeCell ref="B12:B16"/>
    <mergeCell ref="B17:B18"/>
  </mergeCells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11D1E-B3B5-482A-AB92-B8225B378CEC}">
  <dimension ref="B1:N16"/>
  <sheetViews>
    <sheetView workbookViewId="0">
      <selection activeCell="J24" sqref="J24"/>
    </sheetView>
  </sheetViews>
  <sheetFormatPr defaultColWidth="8.77734375" defaultRowHeight="14.4" x14ac:dyDescent="0.25"/>
  <cols>
    <col min="1" max="1" width="1.6640625" style="1" customWidth="1"/>
    <col min="2" max="2" width="8.77734375" style="1"/>
    <col min="3" max="6" width="15.44140625" style="2" customWidth="1"/>
    <col min="7" max="10" width="15.44140625" style="3" customWidth="1"/>
    <col min="11" max="14" width="15.44140625" style="2" customWidth="1"/>
    <col min="15" max="15" width="1.44140625" style="1" customWidth="1"/>
    <col min="16" max="16384" width="8.77734375" style="1"/>
  </cols>
  <sheetData>
    <row r="1" spans="2:14" s="12" customFormat="1" ht="15.6" x14ac:dyDescent="0.25">
      <c r="B1" s="12" t="s">
        <v>23</v>
      </c>
      <c r="C1" s="13"/>
      <c r="D1" s="13"/>
      <c r="E1" s="13"/>
      <c r="F1" s="14"/>
      <c r="G1" s="14"/>
      <c r="H1" s="14"/>
      <c r="I1" s="14"/>
      <c r="J1" s="13"/>
      <c r="K1" s="13"/>
      <c r="L1" s="13"/>
      <c r="M1" s="13"/>
    </row>
    <row r="2" spans="2:14" s="12" customFormat="1" ht="15.6" x14ac:dyDescent="0.25">
      <c r="B2" s="12" t="s">
        <v>24</v>
      </c>
      <c r="C2" s="13"/>
      <c r="D2" s="13"/>
      <c r="E2" s="13"/>
      <c r="F2" s="14"/>
      <c r="G2" s="14"/>
      <c r="H2" s="14"/>
      <c r="I2" s="14"/>
      <c r="J2" s="13"/>
      <c r="K2" s="13"/>
      <c r="L2" s="13"/>
      <c r="M2" s="13"/>
    </row>
    <row r="3" spans="2:14" ht="7.95" customHeight="1" x14ac:dyDescent="0.25"/>
    <row r="4" spans="2:14" ht="40.950000000000003" customHeight="1" x14ac:dyDescent="0.25">
      <c r="B4" s="36" t="s">
        <v>0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</row>
    <row r="5" spans="2:14" ht="19.2" customHeight="1" x14ac:dyDescent="0.25"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</row>
    <row r="6" spans="2:14" x14ac:dyDescent="0.25">
      <c r="B6" s="37" t="s">
        <v>1</v>
      </c>
      <c r="C6" s="38" t="s">
        <v>2</v>
      </c>
      <c r="D6" s="5"/>
      <c r="E6" s="38" t="s">
        <v>3</v>
      </c>
      <c r="F6" s="38"/>
      <c r="G6" s="38"/>
      <c r="H6" s="38"/>
      <c r="I6" s="38"/>
      <c r="J6" s="38"/>
      <c r="K6" s="38"/>
      <c r="L6" s="38"/>
      <c r="M6" s="38"/>
      <c r="N6" s="38"/>
    </row>
    <row r="7" spans="2:14" x14ac:dyDescent="0.25">
      <c r="B7" s="37"/>
      <c r="C7" s="38"/>
      <c r="D7" s="6"/>
      <c r="E7" s="39">
        <v>2017</v>
      </c>
      <c r="F7" s="40"/>
      <c r="G7" s="39">
        <v>2018</v>
      </c>
      <c r="H7" s="40"/>
      <c r="I7" s="39">
        <v>2019</v>
      </c>
      <c r="J7" s="40"/>
      <c r="K7" s="39">
        <v>2020</v>
      </c>
      <c r="L7" s="40"/>
      <c r="M7" s="39">
        <v>2021</v>
      </c>
      <c r="N7" s="40"/>
    </row>
    <row r="8" spans="2:14" x14ac:dyDescent="0.25">
      <c r="B8" s="4"/>
      <c r="C8" s="5"/>
      <c r="D8" s="5"/>
      <c r="E8" s="5" t="s">
        <v>19</v>
      </c>
      <c r="F8" s="7" t="s">
        <v>20</v>
      </c>
      <c r="G8" s="5" t="s">
        <v>19</v>
      </c>
      <c r="H8" s="5" t="s">
        <v>20</v>
      </c>
      <c r="I8" s="5" t="s">
        <v>19</v>
      </c>
      <c r="J8" s="5" t="s">
        <v>20</v>
      </c>
      <c r="K8" s="5" t="s">
        <v>19</v>
      </c>
      <c r="L8" s="5" t="s">
        <v>20</v>
      </c>
      <c r="M8" s="5" t="s">
        <v>19</v>
      </c>
      <c r="N8" s="5" t="s">
        <v>20</v>
      </c>
    </row>
    <row r="9" spans="2:14" ht="14.4" customHeight="1" x14ac:dyDescent="0.25">
      <c r="B9" s="34" t="s">
        <v>21</v>
      </c>
      <c r="C9" s="35" t="s">
        <v>22</v>
      </c>
      <c r="D9" s="8" t="s">
        <v>29</v>
      </c>
      <c r="E9" s="9">
        <v>8.32</v>
      </c>
      <c r="F9" s="10">
        <f t="shared" ref="F9:F14" si="0">E9/$E$16</f>
        <v>3.2463131520085351E-4</v>
      </c>
      <c r="G9" s="9"/>
      <c r="H9" s="10"/>
      <c r="I9" s="9">
        <v>1981.87</v>
      </c>
      <c r="J9" s="10">
        <f>I9/$I$16</f>
        <v>0.42041719703978869</v>
      </c>
      <c r="K9" s="9">
        <v>109.85</v>
      </c>
      <c r="L9" s="10">
        <f>K9/$K$16</f>
        <v>0.91003230883936703</v>
      </c>
      <c r="M9" s="8"/>
      <c r="N9" s="8"/>
    </row>
    <row r="10" spans="2:14" ht="15.6" x14ac:dyDescent="0.25">
      <c r="B10" s="34"/>
      <c r="C10" s="35"/>
      <c r="D10" s="8" t="s">
        <v>25</v>
      </c>
      <c r="E10" s="9">
        <v>11039.5</v>
      </c>
      <c r="F10" s="10">
        <f t="shared" si="0"/>
        <v>0.43074127453844019</v>
      </c>
      <c r="G10" s="9">
        <v>25966.32</v>
      </c>
      <c r="H10" s="10">
        <f>G10/$G$16</f>
        <v>0.36616493682353546</v>
      </c>
      <c r="I10" s="9"/>
      <c r="J10" s="10"/>
      <c r="K10" s="9"/>
      <c r="L10" s="10"/>
      <c r="M10" s="8"/>
      <c r="N10" s="8"/>
    </row>
    <row r="11" spans="2:14" ht="15.6" x14ac:dyDescent="0.25">
      <c r="B11" s="34"/>
      <c r="C11" s="35"/>
      <c r="D11" s="8" t="s">
        <v>26</v>
      </c>
      <c r="E11" s="9">
        <v>7607.61</v>
      </c>
      <c r="F11" s="10">
        <f t="shared" si="0"/>
        <v>0.29683514901864966</v>
      </c>
      <c r="G11" s="9">
        <v>13010.14</v>
      </c>
      <c r="H11" s="10">
        <f t="shared" ref="H11:H15" si="1">G11/$G$16</f>
        <v>0.18346292779128315</v>
      </c>
      <c r="I11" s="9"/>
      <c r="J11" s="10"/>
      <c r="K11" s="9"/>
      <c r="L11" s="10"/>
      <c r="M11" s="8"/>
      <c r="N11" s="8"/>
    </row>
    <row r="12" spans="2:14" ht="15.6" x14ac:dyDescent="0.25">
      <c r="B12" s="34"/>
      <c r="C12" s="35"/>
      <c r="D12" s="8" t="s">
        <v>31</v>
      </c>
      <c r="E12" s="9">
        <v>1236.75</v>
      </c>
      <c r="F12" s="10">
        <f t="shared" si="0"/>
        <v>4.825574267724226E-2</v>
      </c>
      <c r="G12" s="9">
        <v>14331.28</v>
      </c>
      <c r="H12" s="10">
        <f t="shared" si="1"/>
        <v>0.20209302803787357</v>
      </c>
      <c r="I12" s="9">
        <v>1547.34</v>
      </c>
      <c r="J12" s="10">
        <f>I12/$I$16</f>
        <v>0.32823966540063004</v>
      </c>
      <c r="K12" s="9">
        <v>10.86</v>
      </c>
      <c r="L12" s="10">
        <f>K12/$K$16</f>
        <v>8.9967691160632926E-2</v>
      </c>
      <c r="M12" s="8"/>
      <c r="N12" s="8"/>
    </row>
    <row r="13" spans="2:14" ht="15.6" x14ac:dyDescent="0.25">
      <c r="B13" s="34"/>
      <c r="C13" s="35"/>
      <c r="D13" s="8" t="s">
        <v>27</v>
      </c>
      <c r="E13" s="9">
        <v>5537.6440000000002</v>
      </c>
      <c r="F13" s="10">
        <f t="shared" si="0"/>
        <v>0.21606882870602348</v>
      </c>
      <c r="G13" s="9">
        <v>9717.5651999999991</v>
      </c>
      <c r="H13" s="10">
        <f t="shared" si="1"/>
        <v>0.13703257325399157</v>
      </c>
      <c r="I13" s="9"/>
      <c r="J13" s="10"/>
      <c r="K13" s="9"/>
      <c r="L13" s="10"/>
      <c r="M13" s="8"/>
      <c r="N13" s="8"/>
    </row>
    <row r="14" spans="2:14" ht="15.6" x14ac:dyDescent="0.25">
      <c r="B14" s="34"/>
      <c r="C14" s="35"/>
      <c r="D14" s="8" t="s">
        <v>28</v>
      </c>
      <c r="E14" s="9">
        <v>199.25</v>
      </c>
      <c r="F14" s="10">
        <f t="shared" si="0"/>
        <v>7.7743737444435175E-3</v>
      </c>
      <c r="G14" s="9">
        <v>7608.8559999999998</v>
      </c>
      <c r="H14" s="10">
        <f t="shared" si="1"/>
        <v>0.10729653938407055</v>
      </c>
      <c r="I14" s="9"/>
      <c r="J14" s="10"/>
      <c r="K14" s="9"/>
      <c r="L14" s="10"/>
      <c r="M14" s="8"/>
      <c r="N14" s="8"/>
    </row>
    <row r="15" spans="2:14" ht="15.6" x14ac:dyDescent="0.25">
      <c r="B15" s="34"/>
      <c r="C15" s="35"/>
      <c r="D15" s="8" t="s">
        <v>30</v>
      </c>
      <c r="E15" s="9"/>
      <c r="F15" s="10"/>
      <c r="G15" s="9">
        <v>280.11099999999999</v>
      </c>
      <c r="H15" s="11">
        <f t="shared" si="1"/>
        <v>3.9499947092455669E-3</v>
      </c>
      <c r="I15" s="9">
        <v>1184.8454999999999</v>
      </c>
      <c r="J15" s="10">
        <f>I15/$I$16</f>
        <v>0.2513431375595811</v>
      </c>
      <c r="K15" s="9"/>
      <c r="L15" s="10"/>
      <c r="M15" s="8"/>
      <c r="N15" s="8"/>
    </row>
    <row r="16" spans="2:14" ht="15.6" x14ac:dyDescent="0.25">
      <c r="B16" s="34"/>
      <c r="C16" s="35"/>
      <c r="D16" s="8" t="s">
        <v>32</v>
      </c>
      <c r="E16" s="9">
        <f t="shared" ref="E16:L16" si="2">SUM(E9:E15)</f>
        <v>25629.074000000001</v>
      </c>
      <c r="F16" s="22">
        <f t="shared" si="2"/>
        <v>1</v>
      </c>
      <c r="G16" s="9">
        <f t="shared" si="2"/>
        <v>70914.272200000007</v>
      </c>
      <c r="H16" s="22">
        <f t="shared" si="2"/>
        <v>0.99999999999999989</v>
      </c>
      <c r="I16" s="9">
        <f t="shared" si="2"/>
        <v>4714.0555000000004</v>
      </c>
      <c r="J16" s="22">
        <f t="shared" si="2"/>
        <v>0.99999999999999978</v>
      </c>
      <c r="K16" s="9">
        <f t="shared" si="2"/>
        <v>120.71</v>
      </c>
      <c r="L16" s="22">
        <f t="shared" si="2"/>
        <v>1</v>
      </c>
      <c r="M16" s="8"/>
      <c r="N16" s="8"/>
    </row>
  </sheetData>
  <mergeCells count="11">
    <mergeCell ref="B9:B16"/>
    <mergeCell ref="C9:C16"/>
    <mergeCell ref="B4:N5"/>
    <mergeCell ref="B6:B7"/>
    <mergeCell ref="C6:C7"/>
    <mergeCell ref="E6:N6"/>
    <mergeCell ref="E7:F7"/>
    <mergeCell ref="G7:H7"/>
    <mergeCell ref="I7:J7"/>
    <mergeCell ref="K7:L7"/>
    <mergeCell ref="M7:N7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整体</vt:lpstr>
      <vt:lpstr>天和分省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Sarah Zhou</cp:lastModifiedBy>
  <dcterms:created xsi:type="dcterms:W3CDTF">2022-07-18T05:31:00Z</dcterms:created>
  <dcterms:modified xsi:type="dcterms:W3CDTF">2022-07-20T09:16:33Z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B89ECD2AD58442FFA1792E5B9A6DE7F3</vt:lpwstr>
  </property>
  <property fmtid="{D5CDD505-2E9C-101B-9397-08002B2CF9AE}" pid="3" name="KSOProductBuildVer">
    <vt:lpwstr>2052-11.1.0.11830</vt:lpwstr>
  </property>
</Properties>
</file>