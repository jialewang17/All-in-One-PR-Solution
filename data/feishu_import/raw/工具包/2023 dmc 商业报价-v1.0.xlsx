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/>
  <mc:AlternateContent xmlns:mc="http://schemas.openxmlformats.org/markup-compatibility/2006">
    <mc:Choice Requires="x15">
      <x15ac:absPath xmlns:x15ac="http://schemas.microsoft.com/office/spreadsheetml/2010/11/ac" url="/Users/jeizheng/Desktop/"/>
    </mc:Choice>
  </mc:AlternateContent>
  <xr:revisionPtr revIDLastSave="0" documentId="13_ncr:1_{4811CCBD-F528-1447-AB3F-6E8E57F66938}" xr6:coauthVersionLast="47" xr6:coauthVersionMax="47" xr10:uidLastSave="{00000000-0000-0000-0000-000000000000}"/>
  <bookViews>
    <workbookView xWindow="0" yWindow="500" windowWidth="27700" windowHeight="13420" tabRatio="716" xr2:uid="{00000000-000D-0000-FFFF-FFFF00000000}"/>
  </bookViews>
  <sheets>
    <sheet name="渠道合作" sheetId="27" r:id="rId1"/>
    <sheet name="专家合作" sheetId="2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2" i="27" l="1"/>
  <c r="G21" i="27"/>
  <c r="G20" i="27"/>
  <c r="G19" i="27"/>
  <c r="G18" i="27"/>
  <c r="G17" i="27"/>
  <c r="G16" i="27"/>
  <c r="G15" i="27"/>
  <c r="G14" i="27"/>
  <c r="G13" i="27"/>
  <c r="G12" i="27"/>
  <c r="G11" i="27"/>
  <c r="G10" i="27"/>
</calcChain>
</file>

<file path=xl/sharedStrings.xml><?xml version="1.0" encoding="utf-8"?>
<sst xmlns="http://schemas.openxmlformats.org/spreadsheetml/2006/main" count="318" uniqueCount="212">
  <si>
    <t>2023 dmc 商业合作报价 - V1.0</t>
  </si>
  <si>
    <t>资源平台</t>
  </si>
  <si>
    <t>简介</t>
  </si>
  <si>
    <t>丁香医生官方微信
公众号：Dingxiangyisheng</t>
  </si>
  <si>
    <t>简介：有温度、有知识、有态度的新一代大众健康媒体。用户主要为一二线城市高学历人群，对健康高度敏感。以图文内容为主，包含科普、条漫、洞察报告等形式，亦可共建品牌专栏。
粉丝：1800 万</t>
  </si>
  <si>
    <t>丁香妈妈官方微信
公众号：Dingxiangmami</t>
  </si>
  <si>
    <t>简介：丁香旗下母婴健康服务平台，用户为一线城市高知妈妈群体。内容涵盖专家提供的内容、付费课程与母婴商品等服务。
粉丝：860 万</t>
  </si>
  <si>
    <t>丁香生活研究所官方微信
公众号：DingXiangLab</t>
  </si>
  <si>
    <t>简介：用专业，研究美好生活。为对健康有追求，愿意接受健康教育的人寻找自我表达和身份认证。以图文内容为主，包含科普、条漫、洞察报告等形式，亦可共建品牌专栏。
粉丝：600 万</t>
  </si>
  <si>
    <t>渠道合作</t>
  </si>
  <si>
    <t>类型</t>
  </si>
  <si>
    <t>资源形式</t>
  </si>
  <si>
    <t>不含税单价（元）</t>
  </si>
  <si>
    <t>含税单价（元）</t>
  </si>
  <si>
    <t>单位</t>
  </si>
  <si>
    <t>说明</t>
  </si>
  <si>
    <t>推广档期规则</t>
  </si>
  <si>
    <t>微信</t>
  </si>
  <si>
    <t>丁香医生微信</t>
  </si>
  <si>
    <t>图文发布</t>
  </si>
  <si>
    <t>多图文消息-头条</t>
  </si>
  <si>
    <t>条</t>
  </si>
  <si>
    <t>含 1 篇原创内容，不含外链</t>
  </si>
  <si>
    <t>首图文 ≤ 3 条/周
次图文 ≤ 7 条/周
第三条 ≤ 4 条/周
如当次推送有首图文广告，则次条/第三条不放
（原创内容修改不超过 2 次）</t>
  </si>
  <si>
    <t>多图文消息-次条</t>
  </si>
  <si>
    <t>多图文消息-第三条</t>
  </si>
  <si>
    <t>仅接受专栏合作及调研，不含外链</t>
  </si>
  <si>
    <t>图文发布外链</t>
  </si>
  <si>
    <t>头条外链</t>
  </si>
  <si>
    <t>外链为引导用户至丁香域外进行产品购买、优惠领取等行为
引导用户参与互动不属于外链（调研、游戏等）
搭配图文发布售卖，不单独售卖</t>
  </si>
  <si>
    <t>/</t>
  </si>
  <si>
    <t>次条/第三条外链</t>
  </si>
  <si>
    <t>丁香妈妈微信</t>
  </si>
  <si>
    <t>首图文 ≤ 2 条/周
次图文 ≤ 4 条/周
如当天有头条广告，则次条不放</t>
  </si>
  <si>
    <t>次条外链</t>
  </si>
  <si>
    <t>丁香生活研究所微信</t>
  </si>
  <si>
    <t>首图文 ≤ 2 条/周
次图文 ≤ 3 条/周
如当天有头条广告，则次条不放</t>
  </si>
  <si>
    <t>次</t>
  </si>
  <si>
    <t>特殊场景</t>
  </si>
  <si>
    <t>特殊费用说明</t>
  </si>
  <si>
    <t>取消广告/调整档期</t>
  </si>
  <si>
    <t>广告因客户不可抗原因取消或调整档期，发布前 72h 进行告知，不收取变更费</t>
  </si>
  <si>
    <t>超过规定期限临时（≤72h）取消 / 调整档期，加收 2w 作为改档 / 撤档费</t>
  </si>
  <si>
    <t>发布时间前 4h 未确认内容，自动下档，并收取 2w 作为改档费</t>
  </si>
  <si>
    <t>加急费用</t>
  </si>
  <si>
    <t>头条 / 次条微信发布需提前 12 个工作日与项目经理明确需求表，不收取任何加急费用</t>
  </si>
  <si>
    <t>如未能预留以上时间，需加收 1 万/天加急费</t>
  </si>
  <si>
    <t>最短可加急时间为提前 9 个工作日明确需求表</t>
  </si>
  <si>
    <t>版权归属费</t>
  </si>
  <si>
    <t>由于乙方提供的原创的工作成果（包括但不限于文案、视频等），其知识产权及其他合法权益归乙方享有，乙方授权甲方或甲方客户在自有平台的免费传播使用权，且在不改变文章内容的基础上，需注明内容来源于丁香医生，并注明原作者署名。</t>
  </si>
  <si>
    <t>内容创意</t>
  </si>
  <si>
    <t>合作形式</t>
  </si>
  <si>
    <t>备注</t>
  </si>
  <si>
    <t>共建栏目</t>
  </si>
  <si>
    <t>栏目策划</t>
  </si>
  <si>
    <t>1. 开设新的栏目，包括栏目设计和策划
2.外部缩略图+顶部 banner 图+底部banner 图+阅读原文；
3. 同步开白至品牌微信
示例：https://dxy.me/cELn45</t>
  </si>
  <si>
    <t>栏目篇数： ≥ 5 篇
栏目频次：周 / 篇</t>
  </si>
  <si>
    <t>丁香医生（次三文位置）</t>
  </si>
  <si>
    <t>篇</t>
  </si>
  <si>
    <t>丁香妈妈（次图文位置）</t>
  </si>
  <si>
    <t>视频</t>
  </si>
  <si>
    <t>创意策划</t>
  </si>
  <si>
    <t>50,000 起</t>
  </si>
  <si>
    <t>个</t>
  </si>
  <si>
    <t>1.实拍 1-3 分钟科普视频；
2.普通专家一人；</t>
  </si>
  <si>
    <t xml:space="preserve">
1.对演员有特殊要求需要增加报价；
2.场景道具实报实销；
3.视频细节修改，修改只能进行 2 次
（根据实际需求沟通价格） </t>
  </si>
  <si>
    <t>科普专家（普通）</t>
  </si>
  <si>
    <t>场/人</t>
  </si>
  <si>
    <t>演员</t>
  </si>
  <si>
    <t>500~10,000</t>
  </si>
  <si>
    <t>人</t>
  </si>
  <si>
    <t>场地选择及布置</t>
  </si>
  <si>
    <t>5,000～60,000</t>
  </si>
  <si>
    <t>半天</t>
  </si>
  <si>
    <t>视频拍摄</t>
  </si>
  <si>
    <t>20,000～100,000</t>
  </si>
  <si>
    <t>天</t>
  </si>
  <si>
    <t>后期剪辑制作</t>
  </si>
  <si>
    <t>10,000～100,000</t>
  </si>
  <si>
    <t>支</t>
  </si>
  <si>
    <t>视频修改</t>
  </si>
  <si>
    <t>5000～30000</t>
  </si>
  <si>
    <t>动画</t>
  </si>
  <si>
    <t>脚本制作</t>
  </si>
  <si>
    <t>10,000~30,000</t>
  </si>
  <si>
    <t>1.脚本制作；
2.动画人物设计；
3.动画制作</t>
  </si>
  <si>
    <t>1-3分钟趣味动画
（根据需求沟通具体价格）</t>
  </si>
  <si>
    <t>动画人物设计</t>
  </si>
  <si>
    <t>5,000～20,000</t>
  </si>
  <si>
    <t>动画制作</t>
  </si>
  <si>
    <t>150,000～300,000</t>
  </si>
  <si>
    <t>设计费用</t>
  </si>
  <si>
    <t>条漫制作</t>
  </si>
  <si>
    <t>包括图片设计及品牌露出；不单卖，需搭配渠道售卖</t>
  </si>
  <si>
    <t>图片修改</t>
  </si>
  <si>
    <t>1,000~5,000</t>
  </si>
  <si>
    <t>张</t>
  </si>
  <si>
    <t>客户提供的图片进行二次设计和精修</t>
  </si>
  <si>
    <t>banner 图设计</t>
  </si>
  <si>
    <t>包含 banner 位置图片设计、文章内图片设计</t>
  </si>
  <si>
    <t>slogan/logo设计</t>
  </si>
  <si>
    <t>15,000~20,000</t>
  </si>
  <si>
    <t>包括内容创意以及设计，如专区logo</t>
  </si>
  <si>
    <t>原创形象设计</t>
  </si>
  <si>
    <t>设计一个原创的二维形象（不包含动图制作费用）</t>
  </si>
  <si>
    <t>动图 GIF 图制作</t>
  </si>
  <si>
    <t>对二维形象进行动图设计（形象设计费用另计），示例：http://dxy.com/column/9709</t>
  </si>
  <si>
    <t>游戏（H5）设计</t>
  </si>
  <si>
    <t>page</t>
  </si>
  <si>
    <t>按页面进行报价，不包含形象设计费用，不包含技术费用</t>
  </si>
  <si>
    <t>品牌礼品创意／设计</t>
  </si>
  <si>
    <t>如台历，抱枕等创意产出及礼品效果图展示</t>
  </si>
  <si>
    <t>营销调研及洞察</t>
  </si>
  <si>
    <t>产品名称</t>
  </si>
  <si>
    <t>合作权益</t>
  </si>
  <si>
    <t>不含税套餐价（元）</t>
  </si>
  <si>
    <t>权益说明</t>
  </si>
  <si>
    <t>营销调研</t>
  </si>
  <si>
    <t>调研设计</t>
  </si>
  <si>
    <t>1/次</t>
  </si>
  <si>
    <t>22W / 27W</t>
  </si>
  <si>
    <t>含梳理结论预设、传播思路、问卷提纲、与问卷页面搭建
题量：20 题以内</t>
  </si>
  <si>
    <t>泛人群——22W（指客户不对人群画像做具体限制，调研面向丁香主要用户群体，）
母婴人群——27W（指丁香妈妈主要用户群体，目前为-1到3岁宝宝的家长，没有更多限制条件）
精准人群——根据需求评估（以样本获取难度来定价）
注意：须搭配丁香 IP 和渠道资源，不单独售卖</t>
  </si>
  <si>
    <t>问卷搭建</t>
  </si>
  <si>
    <t>样本招募</t>
  </si>
  <si>
    <t>问卷发布</t>
  </si>
  <si>
    <t>含1000 丁香矩阵用户有效样本</t>
  </si>
  <si>
    <t>样本回收</t>
  </si>
  <si>
    <t>调研报告</t>
  </si>
  <si>
    <t>数据处理与分析</t>
  </si>
  <si>
    <t>含交叉分析、梳理归纳结论、专业解读并有逻辑地以 PDF 形式展现研究结果</t>
  </si>
  <si>
    <t>报告制作</t>
  </si>
  <si>
    <t>0 元试用
（标准版）</t>
  </si>
  <si>
    <t>活动权益</t>
  </si>
  <si>
    <t>品牌试用活动搭建</t>
  </si>
  <si>
    <t>10W / 5W
（母婴可选）</t>
  </si>
  <si>
    <t>含活动页面搭建及相关物料设计制作</t>
  </si>
  <si>
    <t>用户信息提供</t>
  </si>
  <si>
    <t>1/份</t>
  </si>
  <si>
    <t>丁香在招募结束后 1 个工作日内，提供符合试用条件的用户收货信息，品牌方需在收到收货信息后 1 个自然日内完成发货。</t>
  </si>
  <si>
    <t>试用报告内容授权</t>
  </si>
  <si>
    <t>1、品牌可挑选 5 个用户试用内容，按照我们规范好的模板做内容替换。使用时仅可以模板形式呈现。_x000B_2、对用户头像、昵称需做打码、模糊处理。_x000B_3、模板修改及使用范围，均需要邮件经丁香医生方面确认后方可出街。_x000B_4、使用内容授权使用范围：仅限品牌官方的传播和销售渠道。
5、授权期限：该产品在丁香家上架期内</t>
  </si>
  <si>
    <t>精准流量加持，大规模派样</t>
  </si>
  <si>
    <t>丁香家小程序首页固定入口</t>
  </si>
  <si>
    <t>1/个</t>
  </si>
  <si>
    <t>从招募开始算起，在首页连续展示 6 天，呈现位置在首页 icon 区域，做固定露出。招募结束后，试用的 icon 会隐藏在第二屏 icon 区域。
注：随版本更新可能存在视觉调整，整体视觉效果请以实际呈现效果为准。</t>
  </si>
  <si>
    <t>健康日历微信贴片征集令/丁香妈妈孕育百科微信贴片征集令（母婴品类可选）</t>
  </si>
  <si>
    <t>1/篇</t>
  </si>
  <si>
    <t>对品牌试用活动进行 100 字以内介绍及招募引导，不支持外链，必须链接跳转至征集活动页面。</t>
  </si>
  <si>
    <t>0 元试用
（plus 版）</t>
  </si>
  <si>
    <t>25W/18W（母婴可选）</t>
  </si>
  <si>
    <t>健康日历微信贴片活动招募/丁香妈妈孕育百科微信贴片征集令（母婴品类可选）</t>
  </si>
  <si>
    <t>定制化内容输出</t>
  </si>
  <si>
    <t>生活研究所微信次图测评文/丁香妈妈微信次图测评文（母婴品类可选）</t>
  </si>
  <si>
    <t>对用户试用报告进行梳理归纳，汇编为微信文章。不支持外链，只支持链接到丁香家该商品链接。（母婴品类引流至丁香妈妈 App 母婴商城）</t>
  </si>
  <si>
    <t>专家合作</t>
  </si>
  <si>
    <t>专家背书</t>
  </si>
  <si>
    <t>专家证言         （自媒体发声）</t>
  </si>
  <si>
    <t>微博</t>
  </si>
  <si>
    <t>一级专家</t>
  </si>
  <si>
    <t>10,000~50,000</t>
  </si>
  <si>
    <t>1. 专家根据选题输出原创内容；
2. 微博 140 字以内；
3. 不含跳转链接</t>
  </si>
  <si>
    <t>在满足基本准入门槛的基础上，满足以下条件中的任意一个，即为【一级专家】:
1）微博粉丝数 35W+
2）微信平均每篇阅读量 1W+
3）全国 Top100 院长／副院长以上
在满足基本准入门槛的基础上，满足以下条件中的任意一个，未满足【一级专家】准入门槛的条件下，即为【二级专家】：
1）微博粉丝数 8W+
2）微信平均每篇阅读量 3K+ 
3）三甲医院副主任以上
此报价仅为预估区间，具体根据渠道类别详询专家。</t>
  </si>
  <si>
    <t>二级专家</t>
  </si>
  <si>
    <t>5,000~10,000</t>
  </si>
  <si>
    <t>20,000~50,000</t>
  </si>
  <si>
    <t>1. 专家根据选题输出原创内容 ；
2. 微信专栏 1500 字以内</t>
  </si>
  <si>
    <t>8,000~15,000</t>
  </si>
  <si>
    <t>知乎</t>
  </si>
  <si>
    <t>20,000~60,000</t>
  </si>
  <si>
    <t>1. 专家根据选题输出原创内容 ；
2. 知乎回答 1500 字以内</t>
  </si>
  <si>
    <t>5,000~20,000</t>
  </si>
  <si>
    <t>专家站台</t>
  </si>
  <si>
    <t>线上站台</t>
  </si>
  <si>
    <t>品牌代言</t>
  </si>
  <si>
    <t>需根据合作方式而定</t>
  </si>
  <si>
    <t>根据活动类别详询专家 （不单独售卖，搭配渠道进行售卖）</t>
  </si>
  <si>
    <t>线下站台</t>
  </si>
  <si>
    <t>线下讲座/演讲</t>
  </si>
  <si>
    <t>10,000~100,000</t>
  </si>
  <si>
    <t xml:space="preserve">不含差旅，根据专家级别及活动类别详询 </t>
  </si>
  <si>
    <t>专家出镜</t>
  </si>
  <si>
    <t>视频合作</t>
  </si>
  <si>
    <t>视频录制</t>
  </si>
  <si>
    <t>直播</t>
  </si>
  <si>
    <t>10,000~40,000</t>
  </si>
  <si>
    <t>肖像使用</t>
  </si>
  <si>
    <t>随内容露出</t>
  </si>
  <si>
    <t>月</t>
  </si>
  <si>
    <t>注： 具体专家合作名单及报价请联系客户经理获取。</t>
  </si>
  <si>
    <t>专家团合作</t>
  </si>
  <si>
    <t>内容</t>
  </si>
  <si>
    <t>数量</t>
  </si>
  <si>
    <t>专家团背书</t>
  </si>
  <si>
    <t>专家团肖像授权</t>
  </si>
  <si>
    <t>位/3 个月</t>
  </si>
  <si>
    <t xml:space="preserve"> 1. 专家肖像和 title 在本次合作期间授权使用；
 2. 默认 3 位专家，增加专家数量需增加费用，以实际沟通为准。</t>
  </si>
  <si>
    <t>「专家说」主海报</t>
  </si>
  <si>
    <t xml:space="preserve">  1. 「专家说」主海报 1 张；
 2. 海报露出「专家说」tag、专家肖像和 title、赋能文案及合作产品。
 3. 海报授权品牌线上销售渠道、线下销售渠道、社媒及 PR 传播渠道使用；
 4. 标准化物料可延展尺寸用于官方传播渠道、官方授权传播渠道、官方销售渠道，均以标准物料或适配尺寸延展形式呈现，不可调整或增减模板内容。
  模板内容核心元素包括：
  ① tag 及赋能文案的位置、大小及字体固定；
  ②专家肖像处于画面中心，名字、title 的位置及大小固定；
  ③ 产品处于画面右下角，产品及产品名大小固定；
  ④ 除赋能文案外，该画面中不可出现其他文案。</t>
  </si>
  <si>
    <t>特殊说明：
1. 如有标准视频需求，可增加标准视频权益（5w/1 支，标准视频）；
2. 抖音、小红书平台对于专家着装有要求，客户如有视频合作需求且投放渠道包含上述平台需提前告知。</t>
  </si>
  <si>
    <t>备注：
1. 合同金额需包含 6% 税费；
2. 文章中可以适度露出品牌或产品信息；
3. 本报价有效期为当月，请及时联系客户经理获取更新报价。</t>
    <phoneticPr fontId="17" type="noConversion"/>
  </si>
  <si>
    <t>节假日价格规范</t>
  </si>
  <si>
    <t>节假日分类</t>
  </si>
  <si>
    <t>季度时间</t>
  </si>
  <si>
    <t>节日</t>
  </si>
  <si>
    <t>具体时间</t>
  </si>
  <si>
    <t>特殊节假日
（费用加收 20%）</t>
  </si>
  <si>
    <t>每年 6.01～6.18</t>
    <phoneticPr fontId="17" type="noConversion"/>
  </si>
  <si>
    <t>双十一</t>
  </si>
  <si>
    <t>每年 10.20～11.11</t>
  </si>
  <si>
    <t>2023 Q2</t>
    <phoneticPr fontId="17" type="noConversion"/>
  </si>
  <si>
    <t>2023 Q4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</si>
</sst>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[$¥-804]* #,##0.00_);_([$¥-804]* \(#,##0.00\);_([$¥-804]* &quot;-&quot;??_);_(@_)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28"/>
      <color rgb="FF540DE3"/>
      <name val="微软雅黑"/>
      <family val="2"/>
      <charset val="134"/>
    </font>
    <font>
      <sz val="18"/>
      <color theme="0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000000"/>
      <name val="冬青黑体简体中文 W3"/>
      <family val="2"/>
      <charset val="134"/>
    </font>
    <font>
      <b/>
      <sz val="18"/>
      <color theme="0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冬青黑体简体中文 W3"/>
      <family val="2"/>
      <charset val="134"/>
    </font>
    <font>
      <sz val="12"/>
      <color theme="1"/>
      <name val="冬青黑体简体中文 W3"/>
      <family val="2"/>
      <charset val="134"/>
    </font>
    <font>
      <sz val="16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C88FF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12" fillId="0" borderId="0"/>
    <xf numFmtId="0" fontId="16" fillId="0" borderId="0">
      <alignment vertical="center"/>
    </xf>
    <xf numFmtId="0" fontId="11" fillId="0" borderId="0"/>
    <xf numFmtId="176" fontId="15" fillId="0" borderId="0"/>
    <xf numFmtId="0" fontId="16" fillId="0" borderId="0">
      <alignment vertical="center"/>
    </xf>
    <xf numFmtId="0" fontId="13" fillId="0" borderId="0"/>
    <xf numFmtId="0" fontId="11" fillId="0" borderId="0"/>
    <xf numFmtId="0" fontId="14" fillId="0" borderId="0"/>
    <xf numFmtId="0" fontId="11" fillId="0" borderId="0"/>
  </cellStyleXfs>
  <cellXfs count="8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38" fontId="6" fillId="4" borderId="1" xfId="7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38" fontId="6" fillId="2" borderId="1" xfId="0" applyNumberFormat="1" applyFont="1" applyFill="1" applyBorder="1" applyAlignment="1">
      <alignment horizontal="center" vertical="center"/>
    </xf>
    <xf numFmtId="38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6" fillId="0" borderId="1" xfId="7" applyFont="1" applyBorder="1" applyAlignment="1">
      <alignment horizontal="center" vertical="center" wrapText="1"/>
    </xf>
    <xf numFmtId="0" fontId="6" fillId="4" borderId="1" xfId="7" applyFont="1" applyFill="1" applyBorder="1" applyAlignment="1">
      <alignment horizontal="center" vertical="center" wrapText="1"/>
    </xf>
    <xf numFmtId="0" fontId="6" fillId="0" borderId="1" xfId="7" applyFont="1" applyBorder="1" applyAlignment="1">
      <alignment horizontal="left" vertical="center" wrapText="1"/>
    </xf>
    <xf numFmtId="38" fontId="6" fillId="0" borderId="1" xfId="7" applyNumberFormat="1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2" borderId="1" xfId="7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38" fontId="6" fillId="4" borderId="1" xfId="7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8" fontId="6" fillId="0" borderId="1" xfId="0" applyNumberFormat="1" applyFont="1" applyBorder="1" applyAlignment="1">
      <alignment horizontal="center" vertical="center"/>
    </xf>
    <xf numFmtId="38" fontId="6" fillId="0" borderId="1" xfId="7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38" fontId="6" fillId="2" borderId="1" xfId="7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0" borderId="1" xfId="7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textRotation="255" wrapText="1"/>
    </xf>
    <xf numFmtId="0" fontId="2" fillId="0" borderId="1" xfId="0" applyFont="1" applyBorder="1" applyAlignment="1">
      <alignment horizontal="center" vertical="center" textRotation="255" wrapText="1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38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center" vertical="center" textRotation="255"/>
    </xf>
    <xf numFmtId="0" fontId="3" fillId="2" borderId="1" xfId="0" applyFont="1" applyFill="1" applyBorder="1" applyAlignment="1">
      <alignment horizontal="center" vertical="center" textRotation="255"/>
    </xf>
    <xf numFmtId="3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</cellXfs>
  <cellStyles count="10">
    <cellStyle name="Normal_Sheet1" xfId="6" xr:uid="{00000000-0005-0000-0000-000006000000}"/>
    <cellStyle name="常规" xfId="0" builtinId="0"/>
    <cellStyle name="常规 2" xfId="5" xr:uid="{00000000-0005-0000-0000-000005000000}"/>
    <cellStyle name="常规 2 2" xfId="8" xr:uid="{00000000-0005-0000-0000-000025000000}"/>
    <cellStyle name="常规 4" xfId="4" xr:uid="{00000000-0005-0000-0000-000004000000}"/>
    <cellStyle name="普通 2" xfId="3" xr:uid="{00000000-0005-0000-0000-000003000000}"/>
    <cellStyle name="普通 2 2" xfId="9" xr:uid="{00000000-0005-0000-0000-000035000000}"/>
    <cellStyle name="普通 2 3" xfId="7" xr:uid="{00000000-0005-0000-0000-000022000000}"/>
    <cellStyle name="普通 3" xfId="2" xr:uid="{00000000-0005-0000-0000-000002000000}"/>
    <cellStyle name="样式 1" xfId="1" xr:uid="{00000000-0005-0000-0000-000001000000}"/>
  </cellStyles>
  <dxfs count="0"/>
  <tableStyles count="0" defaultTableStyle="TableStyleMedium9" defaultPivotStyle="PivotStyleMedium4"/>
  <colors>
    <mruColors>
      <color rgb="FF8C7BE8"/>
      <color rgb="FF9C88FF"/>
      <color rgb="FF6D41C4"/>
      <color rgb="FF6C42C5"/>
      <color rgb="FF8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155223</xdr:colOff>
      <xdr:row>0</xdr:row>
      <xdr:rowOff>0</xdr:rowOff>
    </xdr:from>
    <xdr:to>
      <xdr:col>2</xdr:col>
      <xdr:colOff>275168</xdr:colOff>
      <xdr:row>0</xdr:row>
      <xdr:rowOff>840899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835" y="0"/>
          <a:ext cx="747395" cy="840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222250</xdr:colOff>
      <xdr:row>0</xdr:row>
      <xdr:rowOff>15875</xdr:rowOff>
    </xdr:from>
    <xdr:to>
      <xdr:col>2</xdr:col>
      <xdr:colOff>246945</xdr:colOff>
      <xdr:row>0</xdr:row>
      <xdr:rowOff>856774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350" y="15875"/>
          <a:ext cx="739775" cy="840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3"/>
  <sheetViews>
    <sheetView showGridLines="0" tabSelected="1" zoomScale="80" zoomScaleNormal="80" workbookViewId="0">
      <pane ySplit="1" topLeftCell="A2" activePane="bottomLeft" state="frozen"/>
      <selection pane="bottomLeft" activeCell="G97" sqref="G97"/>
    </sheetView>
  </sheetViews>
  <sheetFormatPr baseColWidth="10" defaultColWidth="10.83203125" defaultRowHeight="17"/>
  <cols>
    <col min="1" max="1" width="2.6640625" style="14" customWidth="1"/>
    <col min="2" max="2" width="9.5" style="15" customWidth="1"/>
    <col min="3" max="3" width="20.5" style="14" customWidth="1"/>
    <col min="4" max="4" width="19.6640625" style="14" customWidth="1"/>
    <col min="5" max="5" width="30.83203125" style="14" customWidth="1"/>
    <col min="6" max="6" width="19.83203125" style="14" customWidth="1"/>
    <col min="7" max="7" width="19.33203125" style="14" customWidth="1"/>
    <col min="8" max="8" width="13.1640625" style="14" customWidth="1"/>
    <col min="9" max="9" width="69.5" style="14" customWidth="1"/>
    <col min="10" max="10" width="57.83203125" style="14" customWidth="1"/>
    <col min="11" max="16384" width="10.83203125" style="14"/>
  </cols>
  <sheetData>
    <row r="1" spans="2:10" ht="70" customHeight="1">
      <c r="B1" s="26" t="s">
        <v>0</v>
      </c>
      <c r="C1" s="26"/>
      <c r="D1" s="26"/>
      <c r="E1" s="26"/>
      <c r="F1" s="26"/>
      <c r="G1" s="26"/>
      <c r="H1" s="26"/>
      <c r="I1" s="26"/>
      <c r="J1" s="26"/>
    </row>
    <row r="2" spans="2:10" s="13" customFormat="1" ht="41" customHeight="1"/>
    <row r="3" spans="2:10" s="13" customFormat="1" ht="41" customHeight="1">
      <c r="B3" s="27" t="s">
        <v>1</v>
      </c>
      <c r="C3" s="27"/>
      <c r="D3" s="27"/>
      <c r="E3" s="27" t="s">
        <v>2</v>
      </c>
      <c r="F3" s="27"/>
      <c r="G3" s="27"/>
      <c r="H3" s="27"/>
      <c r="I3" s="27"/>
      <c r="J3" s="27"/>
    </row>
    <row r="4" spans="2:10" s="13" customFormat="1" ht="50" customHeight="1">
      <c r="B4" s="28" t="s">
        <v>3</v>
      </c>
      <c r="C4" s="28"/>
      <c r="D4" s="28"/>
      <c r="E4" s="28" t="s">
        <v>4</v>
      </c>
      <c r="F4" s="28"/>
      <c r="G4" s="28"/>
      <c r="H4" s="28"/>
      <c r="I4" s="28"/>
      <c r="J4" s="28"/>
    </row>
    <row r="5" spans="2:10" s="13" customFormat="1" ht="50" customHeight="1">
      <c r="B5" s="28" t="s">
        <v>5</v>
      </c>
      <c r="C5" s="28"/>
      <c r="D5" s="28"/>
      <c r="E5" s="28" t="s">
        <v>6</v>
      </c>
      <c r="F5" s="28"/>
      <c r="G5" s="28"/>
      <c r="H5" s="28"/>
      <c r="I5" s="28"/>
      <c r="J5" s="28"/>
    </row>
    <row r="6" spans="2:10" s="13" customFormat="1" ht="50" customHeight="1">
      <c r="B6" s="28" t="s">
        <v>7</v>
      </c>
      <c r="C6" s="28"/>
      <c r="D6" s="28"/>
      <c r="E6" s="28" t="s">
        <v>8</v>
      </c>
      <c r="F6" s="28"/>
      <c r="G6" s="28"/>
      <c r="H6" s="28"/>
      <c r="I6" s="28"/>
      <c r="J6" s="28"/>
    </row>
    <row r="7" spans="2:10" s="13" customFormat="1" ht="39" customHeight="1"/>
    <row r="8" spans="2:10" ht="40" customHeight="1">
      <c r="B8" s="27" t="s">
        <v>9</v>
      </c>
      <c r="C8" s="27"/>
      <c r="D8" s="27"/>
      <c r="E8" s="27"/>
      <c r="F8" s="27"/>
      <c r="G8" s="27"/>
      <c r="H8" s="27"/>
      <c r="I8" s="27"/>
      <c r="J8" s="27"/>
    </row>
    <row r="9" spans="2:10" ht="19">
      <c r="B9" s="4" t="s">
        <v>10</v>
      </c>
      <c r="C9" s="29" t="s">
        <v>11</v>
      </c>
      <c r="D9" s="29"/>
      <c r="E9" s="29"/>
      <c r="F9" s="7" t="s">
        <v>12</v>
      </c>
      <c r="G9" s="7" t="s">
        <v>13</v>
      </c>
      <c r="H9" s="17" t="s">
        <v>14</v>
      </c>
      <c r="I9" s="17" t="s">
        <v>15</v>
      </c>
      <c r="J9" s="23" t="s">
        <v>16</v>
      </c>
    </row>
    <row r="10" spans="2:10" ht="40" customHeight="1">
      <c r="B10" s="40" t="s">
        <v>17</v>
      </c>
      <c r="C10" s="48" t="s">
        <v>18</v>
      </c>
      <c r="D10" s="48" t="s">
        <v>19</v>
      </c>
      <c r="E10" s="18" t="s">
        <v>20</v>
      </c>
      <c r="F10" s="19">
        <v>700000</v>
      </c>
      <c r="G10" s="19">
        <f t="shared" ref="G10:G11" si="0">F10*1.06</f>
        <v>742000</v>
      </c>
      <c r="H10" s="16" t="s">
        <v>21</v>
      </c>
      <c r="I10" s="48" t="s">
        <v>22</v>
      </c>
      <c r="J10" s="48" t="s">
        <v>23</v>
      </c>
    </row>
    <row r="11" spans="2:10" ht="40" customHeight="1">
      <c r="B11" s="40"/>
      <c r="C11" s="48"/>
      <c r="D11" s="48"/>
      <c r="E11" s="18" t="s">
        <v>24</v>
      </c>
      <c r="F11" s="19">
        <v>250000</v>
      </c>
      <c r="G11" s="19">
        <f t="shared" si="0"/>
        <v>265000</v>
      </c>
      <c r="H11" s="16" t="s">
        <v>21</v>
      </c>
      <c r="I11" s="48"/>
      <c r="J11" s="48"/>
    </row>
    <row r="12" spans="2:10" ht="40" customHeight="1">
      <c r="B12" s="40"/>
      <c r="C12" s="48"/>
      <c r="D12" s="48"/>
      <c r="E12" s="18" t="s">
        <v>25</v>
      </c>
      <c r="F12" s="19">
        <v>150000</v>
      </c>
      <c r="G12" s="19">
        <f t="shared" ref="G12:G22" si="1">F12*1.06</f>
        <v>159000</v>
      </c>
      <c r="H12" s="16" t="s">
        <v>21</v>
      </c>
      <c r="I12" s="16" t="s">
        <v>26</v>
      </c>
      <c r="J12" s="48"/>
    </row>
    <row r="13" spans="2:10" ht="40" customHeight="1">
      <c r="B13" s="40"/>
      <c r="C13" s="48"/>
      <c r="D13" s="48" t="s">
        <v>27</v>
      </c>
      <c r="E13" s="18" t="s">
        <v>28</v>
      </c>
      <c r="F13" s="19">
        <v>80000</v>
      </c>
      <c r="G13" s="19">
        <f t="shared" si="1"/>
        <v>84800</v>
      </c>
      <c r="H13" s="16" t="s">
        <v>21</v>
      </c>
      <c r="I13" s="48" t="s">
        <v>29</v>
      </c>
      <c r="J13" s="48" t="s">
        <v>30</v>
      </c>
    </row>
    <row r="14" spans="2:10" ht="40" customHeight="1">
      <c r="B14" s="40"/>
      <c r="C14" s="48"/>
      <c r="D14" s="48"/>
      <c r="E14" s="18" t="s">
        <v>31</v>
      </c>
      <c r="F14" s="19">
        <v>30000</v>
      </c>
      <c r="G14" s="19">
        <f t="shared" si="1"/>
        <v>31800</v>
      </c>
      <c r="H14" s="16" t="s">
        <v>21</v>
      </c>
      <c r="I14" s="48"/>
      <c r="J14" s="48"/>
    </row>
    <row r="15" spans="2:10" ht="40" customHeight="1">
      <c r="B15" s="40"/>
      <c r="C15" s="48" t="s">
        <v>32</v>
      </c>
      <c r="D15" s="48" t="s">
        <v>19</v>
      </c>
      <c r="E15" s="18" t="s">
        <v>20</v>
      </c>
      <c r="F15" s="19">
        <v>200000</v>
      </c>
      <c r="G15" s="19">
        <f t="shared" si="1"/>
        <v>212000</v>
      </c>
      <c r="H15" s="16" t="s">
        <v>21</v>
      </c>
      <c r="I15" s="48" t="s">
        <v>22</v>
      </c>
      <c r="J15" s="48" t="s">
        <v>33</v>
      </c>
    </row>
    <row r="16" spans="2:10" ht="40" customHeight="1">
      <c r="B16" s="40"/>
      <c r="C16" s="48"/>
      <c r="D16" s="48"/>
      <c r="E16" s="18" t="s">
        <v>24</v>
      </c>
      <c r="F16" s="19">
        <v>100000</v>
      </c>
      <c r="G16" s="19">
        <f t="shared" si="1"/>
        <v>106000</v>
      </c>
      <c r="H16" s="16" t="s">
        <v>21</v>
      </c>
      <c r="I16" s="48"/>
      <c r="J16" s="48"/>
    </row>
    <row r="17" spans="2:10" ht="40" customHeight="1">
      <c r="B17" s="40"/>
      <c r="C17" s="48"/>
      <c r="D17" s="48" t="s">
        <v>27</v>
      </c>
      <c r="E17" s="18" t="s">
        <v>28</v>
      </c>
      <c r="F17" s="19">
        <v>30000</v>
      </c>
      <c r="G17" s="19">
        <f t="shared" si="1"/>
        <v>31800</v>
      </c>
      <c r="H17" s="16" t="s">
        <v>21</v>
      </c>
      <c r="I17" s="48" t="s">
        <v>29</v>
      </c>
      <c r="J17" s="48" t="s">
        <v>30</v>
      </c>
    </row>
    <row r="18" spans="2:10" ht="40" customHeight="1">
      <c r="B18" s="40"/>
      <c r="C18" s="48"/>
      <c r="D18" s="48"/>
      <c r="E18" s="18" t="s">
        <v>34</v>
      </c>
      <c r="F18" s="19">
        <v>10000</v>
      </c>
      <c r="G18" s="19">
        <f t="shared" si="1"/>
        <v>10600</v>
      </c>
      <c r="H18" s="16" t="s">
        <v>21</v>
      </c>
      <c r="I18" s="48"/>
      <c r="J18" s="48"/>
    </row>
    <row r="19" spans="2:10" ht="40" customHeight="1">
      <c r="B19" s="40"/>
      <c r="C19" s="48" t="s">
        <v>35</v>
      </c>
      <c r="D19" s="48" t="s">
        <v>19</v>
      </c>
      <c r="E19" s="18" t="s">
        <v>20</v>
      </c>
      <c r="F19" s="19">
        <v>300000</v>
      </c>
      <c r="G19" s="19">
        <f t="shared" si="1"/>
        <v>318000</v>
      </c>
      <c r="H19" s="16" t="s">
        <v>21</v>
      </c>
      <c r="I19" s="48" t="s">
        <v>22</v>
      </c>
      <c r="J19" s="48" t="s">
        <v>36</v>
      </c>
    </row>
    <row r="20" spans="2:10" ht="40" customHeight="1">
      <c r="B20" s="40"/>
      <c r="C20" s="48"/>
      <c r="D20" s="48"/>
      <c r="E20" s="18" t="s">
        <v>24</v>
      </c>
      <c r="F20" s="19">
        <v>120000</v>
      </c>
      <c r="G20" s="19">
        <f t="shared" si="1"/>
        <v>127200</v>
      </c>
      <c r="H20" s="16" t="s">
        <v>21</v>
      </c>
      <c r="I20" s="48"/>
      <c r="J20" s="48"/>
    </row>
    <row r="21" spans="2:10" ht="40" customHeight="1">
      <c r="B21" s="40"/>
      <c r="C21" s="48"/>
      <c r="D21" s="48" t="s">
        <v>27</v>
      </c>
      <c r="E21" s="18" t="s">
        <v>28</v>
      </c>
      <c r="F21" s="19">
        <v>30000</v>
      </c>
      <c r="G21" s="19">
        <f t="shared" si="1"/>
        <v>31800</v>
      </c>
      <c r="H21" s="16" t="s">
        <v>37</v>
      </c>
      <c r="I21" s="48" t="s">
        <v>29</v>
      </c>
      <c r="J21" s="48" t="s">
        <v>30</v>
      </c>
    </row>
    <row r="22" spans="2:10" ht="40" customHeight="1">
      <c r="B22" s="40"/>
      <c r="C22" s="48"/>
      <c r="D22" s="48"/>
      <c r="E22" s="18" t="s">
        <v>34</v>
      </c>
      <c r="F22" s="19">
        <v>10000</v>
      </c>
      <c r="G22" s="19">
        <f t="shared" si="1"/>
        <v>10600</v>
      </c>
      <c r="H22" s="16" t="s">
        <v>37</v>
      </c>
      <c r="I22" s="48"/>
      <c r="J22" s="48"/>
    </row>
    <row r="23" spans="2:10" ht="108" customHeight="1">
      <c r="B23" s="30" t="s">
        <v>200</v>
      </c>
      <c r="C23" s="31"/>
      <c r="D23" s="31"/>
      <c r="E23" s="31"/>
      <c r="F23" s="31"/>
      <c r="G23" s="31"/>
      <c r="H23" s="31"/>
      <c r="I23" s="31"/>
      <c r="J23" s="31"/>
    </row>
    <row r="25" spans="2:10" ht="40" customHeight="1">
      <c r="B25" s="32" t="s">
        <v>38</v>
      </c>
      <c r="C25" s="32"/>
      <c r="D25" s="32"/>
      <c r="E25" s="32" t="s">
        <v>39</v>
      </c>
      <c r="F25" s="32"/>
      <c r="G25" s="32"/>
      <c r="H25" s="32"/>
      <c r="I25" s="32"/>
      <c r="J25" s="32"/>
    </row>
    <row r="26" spans="2:10" ht="40" customHeight="1">
      <c r="B26" s="35" t="s">
        <v>40</v>
      </c>
      <c r="C26" s="35"/>
      <c r="D26" s="35"/>
      <c r="E26" s="33" t="s">
        <v>41</v>
      </c>
      <c r="F26" s="33"/>
      <c r="G26" s="33"/>
      <c r="H26" s="33"/>
      <c r="I26" s="33"/>
      <c r="J26" s="33"/>
    </row>
    <row r="27" spans="2:10" ht="40" customHeight="1">
      <c r="B27" s="35"/>
      <c r="C27" s="35"/>
      <c r="D27" s="35"/>
      <c r="E27" s="33" t="s">
        <v>42</v>
      </c>
      <c r="F27" s="33"/>
      <c r="G27" s="33"/>
      <c r="H27" s="33"/>
      <c r="I27" s="33"/>
      <c r="J27" s="33"/>
    </row>
    <row r="28" spans="2:10" ht="40" customHeight="1">
      <c r="B28" s="35"/>
      <c r="C28" s="35"/>
      <c r="D28" s="35"/>
      <c r="E28" s="33" t="s">
        <v>43</v>
      </c>
      <c r="F28" s="33"/>
      <c r="G28" s="33"/>
      <c r="H28" s="33"/>
      <c r="I28" s="33"/>
      <c r="J28" s="33"/>
    </row>
    <row r="29" spans="2:10" ht="40" customHeight="1">
      <c r="B29" s="35" t="s">
        <v>44</v>
      </c>
      <c r="C29" s="35"/>
      <c r="D29" s="35"/>
      <c r="E29" s="34" t="s">
        <v>45</v>
      </c>
      <c r="F29" s="34"/>
      <c r="G29" s="34"/>
      <c r="H29" s="34"/>
      <c r="I29" s="34"/>
      <c r="J29" s="34"/>
    </row>
    <row r="30" spans="2:10" ht="40" customHeight="1">
      <c r="B30" s="35"/>
      <c r="C30" s="35"/>
      <c r="D30" s="35"/>
      <c r="E30" s="33" t="s">
        <v>46</v>
      </c>
      <c r="F30" s="33"/>
      <c r="G30" s="33"/>
      <c r="H30" s="33"/>
      <c r="I30" s="33"/>
      <c r="J30" s="33"/>
    </row>
    <row r="31" spans="2:10" ht="40" customHeight="1">
      <c r="B31" s="35"/>
      <c r="C31" s="35"/>
      <c r="D31" s="35"/>
      <c r="E31" s="33" t="s">
        <v>47</v>
      </c>
      <c r="F31" s="33"/>
      <c r="G31" s="33"/>
      <c r="H31" s="33"/>
      <c r="I31" s="33"/>
      <c r="J31" s="33"/>
    </row>
    <row r="32" spans="2:10" ht="40" customHeight="1">
      <c r="B32" s="35" t="s">
        <v>48</v>
      </c>
      <c r="C32" s="35"/>
      <c r="D32" s="35"/>
      <c r="E32" s="34" t="s">
        <v>49</v>
      </c>
      <c r="F32" s="34"/>
      <c r="G32" s="34"/>
      <c r="H32" s="34"/>
      <c r="I32" s="34"/>
      <c r="J32" s="34"/>
    </row>
    <row r="39" spans="2:10" ht="40" customHeight="1">
      <c r="B39" s="27" t="s">
        <v>50</v>
      </c>
      <c r="C39" s="27"/>
      <c r="D39" s="27"/>
      <c r="E39" s="27"/>
      <c r="F39" s="27"/>
      <c r="G39" s="27"/>
      <c r="H39" s="27"/>
      <c r="I39" s="27"/>
      <c r="J39" s="27"/>
    </row>
    <row r="40" spans="2:10" ht="19">
      <c r="B40" s="7" t="s">
        <v>10</v>
      </c>
      <c r="C40" s="29" t="s">
        <v>51</v>
      </c>
      <c r="D40" s="29"/>
      <c r="E40" s="29"/>
      <c r="F40" s="36" t="s">
        <v>12</v>
      </c>
      <c r="G40" s="36"/>
      <c r="H40" s="7" t="s">
        <v>14</v>
      </c>
      <c r="I40" s="4" t="s">
        <v>15</v>
      </c>
      <c r="J40" s="4" t="s">
        <v>52</v>
      </c>
    </row>
    <row r="41" spans="2:10" ht="40" customHeight="1">
      <c r="B41" s="49" t="s">
        <v>50</v>
      </c>
      <c r="C41" s="42" t="s">
        <v>53</v>
      </c>
      <c r="D41" s="37" t="s">
        <v>54</v>
      </c>
      <c r="E41" s="37"/>
      <c r="F41" s="38">
        <v>100000</v>
      </c>
      <c r="G41" s="38"/>
      <c r="H41" s="5" t="s">
        <v>37</v>
      </c>
      <c r="I41" s="55" t="s">
        <v>55</v>
      </c>
      <c r="J41" s="55" t="s">
        <v>56</v>
      </c>
    </row>
    <row r="42" spans="2:10" ht="40" customHeight="1">
      <c r="B42" s="49"/>
      <c r="C42" s="42"/>
      <c r="D42" s="37" t="s">
        <v>57</v>
      </c>
      <c r="E42" s="37"/>
      <c r="F42" s="39">
        <v>150000</v>
      </c>
      <c r="G42" s="39"/>
      <c r="H42" s="5" t="s">
        <v>58</v>
      </c>
      <c r="I42" s="55"/>
      <c r="J42" s="55"/>
    </row>
    <row r="43" spans="2:10" ht="40" customHeight="1">
      <c r="B43" s="49"/>
      <c r="C43" s="42"/>
      <c r="D43" s="37" t="s">
        <v>59</v>
      </c>
      <c r="E43" s="37"/>
      <c r="F43" s="38">
        <v>100000</v>
      </c>
      <c r="G43" s="38"/>
      <c r="H43" s="5" t="s">
        <v>58</v>
      </c>
      <c r="I43" s="55"/>
      <c r="J43" s="55"/>
    </row>
    <row r="44" spans="2:10" ht="40" customHeight="1">
      <c r="B44" s="49"/>
      <c r="C44" s="42" t="s">
        <v>60</v>
      </c>
      <c r="D44" s="40" t="s">
        <v>61</v>
      </c>
      <c r="E44" s="40"/>
      <c r="F44" s="40" t="s">
        <v>62</v>
      </c>
      <c r="G44" s="40"/>
      <c r="H44" s="5" t="s">
        <v>63</v>
      </c>
      <c r="I44" s="55" t="s">
        <v>64</v>
      </c>
      <c r="J44" s="55" t="s">
        <v>65</v>
      </c>
    </row>
    <row r="45" spans="2:10" ht="40" customHeight="1">
      <c r="B45" s="49"/>
      <c r="C45" s="42"/>
      <c r="D45" s="40" t="s">
        <v>66</v>
      </c>
      <c r="E45" s="40"/>
      <c r="F45" s="39">
        <v>30000</v>
      </c>
      <c r="G45" s="39"/>
      <c r="H45" s="20" t="s">
        <v>67</v>
      </c>
      <c r="I45" s="55"/>
      <c r="J45" s="55"/>
    </row>
    <row r="46" spans="2:10" ht="40" customHeight="1">
      <c r="B46" s="49"/>
      <c r="C46" s="42"/>
      <c r="D46" s="40" t="s">
        <v>68</v>
      </c>
      <c r="E46" s="40"/>
      <c r="F46" s="40" t="s">
        <v>69</v>
      </c>
      <c r="G46" s="40"/>
      <c r="H46" s="5" t="s">
        <v>70</v>
      </c>
      <c r="I46" s="55"/>
      <c r="J46" s="55"/>
    </row>
    <row r="47" spans="2:10" ht="40" customHeight="1">
      <c r="B47" s="49"/>
      <c r="C47" s="42"/>
      <c r="D47" s="40" t="s">
        <v>71</v>
      </c>
      <c r="E47" s="40"/>
      <c r="F47" s="40" t="s">
        <v>72</v>
      </c>
      <c r="G47" s="40"/>
      <c r="H47" s="5" t="s">
        <v>73</v>
      </c>
      <c r="I47" s="55"/>
      <c r="J47" s="55"/>
    </row>
    <row r="48" spans="2:10" ht="40" customHeight="1">
      <c r="B48" s="49"/>
      <c r="C48" s="42"/>
      <c r="D48" s="40" t="s">
        <v>74</v>
      </c>
      <c r="E48" s="40"/>
      <c r="F48" s="40" t="s">
        <v>75</v>
      </c>
      <c r="G48" s="40"/>
      <c r="H48" s="5" t="s">
        <v>76</v>
      </c>
      <c r="I48" s="55"/>
      <c r="J48" s="55"/>
    </row>
    <row r="49" spans="2:10" ht="40" customHeight="1">
      <c r="B49" s="49"/>
      <c r="C49" s="42"/>
      <c r="D49" s="40" t="s">
        <v>77</v>
      </c>
      <c r="E49" s="40"/>
      <c r="F49" s="40" t="s">
        <v>78</v>
      </c>
      <c r="G49" s="40"/>
      <c r="H49" s="5" t="s">
        <v>79</v>
      </c>
      <c r="I49" s="55"/>
      <c r="J49" s="55"/>
    </row>
    <row r="50" spans="2:10" ht="40" customHeight="1">
      <c r="B50" s="49"/>
      <c r="C50" s="42"/>
      <c r="D50" s="40" t="s">
        <v>80</v>
      </c>
      <c r="E50" s="40"/>
      <c r="F50" s="41" t="s">
        <v>81</v>
      </c>
      <c r="G50" s="41"/>
      <c r="H50" s="5" t="s">
        <v>63</v>
      </c>
      <c r="I50" s="55"/>
      <c r="J50" s="55"/>
    </row>
    <row r="51" spans="2:10" ht="40" customHeight="1">
      <c r="B51" s="49"/>
      <c r="C51" s="42" t="s">
        <v>82</v>
      </c>
      <c r="D51" s="42" t="s">
        <v>83</v>
      </c>
      <c r="E51" s="42"/>
      <c r="F51" s="42" t="s">
        <v>84</v>
      </c>
      <c r="G51" s="42"/>
      <c r="H51" s="8" t="s">
        <v>58</v>
      </c>
      <c r="I51" s="45" t="s">
        <v>85</v>
      </c>
      <c r="J51" s="45" t="s">
        <v>86</v>
      </c>
    </row>
    <row r="52" spans="2:10" ht="40" customHeight="1">
      <c r="B52" s="49"/>
      <c r="C52" s="42"/>
      <c r="D52" s="42" t="s">
        <v>87</v>
      </c>
      <c r="E52" s="42"/>
      <c r="F52" s="43" t="s">
        <v>88</v>
      </c>
      <c r="G52" s="43"/>
      <c r="H52" s="8" t="s">
        <v>63</v>
      </c>
      <c r="I52" s="45"/>
      <c r="J52" s="45"/>
    </row>
    <row r="53" spans="2:10" ht="40" customHeight="1">
      <c r="B53" s="49"/>
      <c r="C53" s="42"/>
      <c r="D53" s="42" t="s">
        <v>89</v>
      </c>
      <c r="E53" s="42"/>
      <c r="F53" s="42" t="s">
        <v>90</v>
      </c>
      <c r="G53" s="42"/>
      <c r="H53" s="8" t="s">
        <v>63</v>
      </c>
      <c r="I53" s="45"/>
      <c r="J53" s="45"/>
    </row>
    <row r="54" spans="2:10" ht="40" customHeight="1">
      <c r="B54" s="49"/>
      <c r="C54" s="42" t="s">
        <v>91</v>
      </c>
      <c r="D54" s="42" t="s">
        <v>92</v>
      </c>
      <c r="E54" s="42"/>
      <c r="F54" s="44">
        <v>50000</v>
      </c>
      <c r="G54" s="44"/>
      <c r="H54" s="21" t="s">
        <v>58</v>
      </c>
      <c r="I54" s="45" t="s">
        <v>93</v>
      </c>
      <c r="J54" s="45"/>
    </row>
    <row r="55" spans="2:10" ht="40" customHeight="1">
      <c r="B55" s="49"/>
      <c r="C55" s="42"/>
      <c r="D55" s="42" t="s">
        <v>94</v>
      </c>
      <c r="E55" s="42"/>
      <c r="F55" s="46" t="s">
        <v>95</v>
      </c>
      <c r="G55" s="46"/>
      <c r="H55" s="22" t="s">
        <v>96</v>
      </c>
      <c r="I55" s="45" t="s">
        <v>97</v>
      </c>
      <c r="J55" s="45"/>
    </row>
    <row r="56" spans="2:10" ht="40" customHeight="1">
      <c r="B56" s="49"/>
      <c r="C56" s="42"/>
      <c r="D56" s="42" t="s">
        <v>98</v>
      </c>
      <c r="E56" s="42"/>
      <c r="F56" s="47">
        <v>5000</v>
      </c>
      <c r="G56" s="47"/>
      <c r="H56" s="22" t="s">
        <v>96</v>
      </c>
      <c r="I56" s="45" t="s">
        <v>99</v>
      </c>
      <c r="J56" s="45"/>
    </row>
    <row r="57" spans="2:10" ht="40" customHeight="1">
      <c r="B57" s="49"/>
      <c r="C57" s="42"/>
      <c r="D57" s="42" t="s">
        <v>100</v>
      </c>
      <c r="E57" s="42"/>
      <c r="F57" s="46" t="s">
        <v>101</v>
      </c>
      <c r="G57" s="46"/>
      <c r="H57" s="22" t="s">
        <v>63</v>
      </c>
      <c r="I57" s="45" t="s">
        <v>102</v>
      </c>
      <c r="J57" s="45"/>
    </row>
    <row r="58" spans="2:10" ht="40" customHeight="1">
      <c r="B58" s="49"/>
      <c r="C58" s="42"/>
      <c r="D58" s="42" t="s">
        <v>103</v>
      </c>
      <c r="E58" s="42"/>
      <c r="F58" s="47">
        <v>20000</v>
      </c>
      <c r="G58" s="47"/>
      <c r="H58" s="22" t="s">
        <v>63</v>
      </c>
      <c r="I58" s="45" t="s">
        <v>104</v>
      </c>
      <c r="J58" s="45"/>
    </row>
    <row r="59" spans="2:10" ht="40" customHeight="1">
      <c r="B59" s="49"/>
      <c r="C59" s="42"/>
      <c r="D59" s="42" t="s">
        <v>105</v>
      </c>
      <c r="E59" s="42"/>
      <c r="F59" s="47">
        <v>10000</v>
      </c>
      <c r="G59" s="47"/>
      <c r="H59" s="22" t="s">
        <v>63</v>
      </c>
      <c r="I59" s="45" t="s">
        <v>106</v>
      </c>
      <c r="J59" s="45"/>
    </row>
    <row r="60" spans="2:10" ht="40" customHeight="1">
      <c r="B60" s="49"/>
      <c r="C60" s="42"/>
      <c r="D60" s="42" t="s">
        <v>107</v>
      </c>
      <c r="E60" s="42"/>
      <c r="F60" s="47">
        <v>5000</v>
      </c>
      <c r="G60" s="47"/>
      <c r="H60" s="22" t="s">
        <v>108</v>
      </c>
      <c r="I60" s="45" t="s">
        <v>109</v>
      </c>
      <c r="J60" s="45"/>
    </row>
    <row r="61" spans="2:10" ht="40" customHeight="1">
      <c r="B61" s="49"/>
      <c r="C61" s="42"/>
      <c r="D61" s="42" t="s">
        <v>110</v>
      </c>
      <c r="E61" s="42"/>
      <c r="F61" s="47">
        <v>5000</v>
      </c>
      <c r="G61" s="47"/>
      <c r="H61" s="22" t="s">
        <v>63</v>
      </c>
      <c r="I61" s="45" t="s">
        <v>111</v>
      </c>
      <c r="J61" s="45"/>
    </row>
    <row r="68" spans="2:10" ht="40" customHeight="1">
      <c r="B68" s="27" t="s">
        <v>112</v>
      </c>
      <c r="C68" s="27"/>
      <c r="D68" s="27"/>
      <c r="E68" s="27"/>
      <c r="F68" s="27"/>
      <c r="G68" s="27"/>
      <c r="H68" s="27"/>
      <c r="I68" s="27"/>
      <c r="J68" s="27"/>
    </row>
    <row r="69" spans="2:10" ht="38">
      <c r="B69" s="24" t="s">
        <v>10</v>
      </c>
      <c r="C69" s="7" t="s">
        <v>113</v>
      </c>
      <c r="D69" s="29" t="s">
        <v>114</v>
      </c>
      <c r="E69" s="29"/>
      <c r="F69" s="29"/>
      <c r="G69" s="7" t="s">
        <v>14</v>
      </c>
      <c r="H69" s="7" t="s">
        <v>115</v>
      </c>
      <c r="I69" s="23" t="s">
        <v>116</v>
      </c>
      <c r="J69" s="4" t="s">
        <v>52</v>
      </c>
    </row>
    <row r="70" spans="2:10" ht="40" customHeight="1">
      <c r="B70" s="50" t="s">
        <v>112</v>
      </c>
      <c r="C70" s="51" t="s">
        <v>117</v>
      </c>
      <c r="D70" s="48" t="s">
        <v>118</v>
      </c>
      <c r="E70" s="48" t="s">
        <v>118</v>
      </c>
      <c r="F70" s="48"/>
      <c r="G70" s="44" t="s">
        <v>119</v>
      </c>
      <c r="H70" s="44" t="s">
        <v>120</v>
      </c>
      <c r="I70" s="45" t="s">
        <v>121</v>
      </c>
      <c r="J70" s="45" t="s">
        <v>122</v>
      </c>
    </row>
    <row r="71" spans="2:10" ht="40" customHeight="1">
      <c r="B71" s="50"/>
      <c r="C71" s="51"/>
      <c r="D71" s="48"/>
      <c r="E71" s="48" t="s">
        <v>123</v>
      </c>
      <c r="F71" s="48"/>
      <c r="G71" s="44"/>
      <c r="H71" s="44"/>
      <c r="I71" s="45"/>
      <c r="J71" s="56"/>
    </row>
    <row r="72" spans="2:10" ht="40" customHeight="1">
      <c r="B72" s="50"/>
      <c r="C72" s="51"/>
      <c r="D72" s="40" t="s">
        <v>124</v>
      </c>
      <c r="E72" s="48" t="s">
        <v>125</v>
      </c>
      <c r="F72" s="48"/>
      <c r="G72" s="44"/>
      <c r="H72" s="44"/>
      <c r="I72" s="45" t="s">
        <v>126</v>
      </c>
      <c r="J72" s="56"/>
    </row>
    <row r="73" spans="2:10" ht="40" customHeight="1">
      <c r="B73" s="50"/>
      <c r="C73" s="51"/>
      <c r="D73" s="40"/>
      <c r="E73" s="48" t="s">
        <v>127</v>
      </c>
      <c r="F73" s="48"/>
      <c r="G73" s="44"/>
      <c r="H73" s="44"/>
      <c r="I73" s="45"/>
      <c r="J73" s="56"/>
    </row>
    <row r="74" spans="2:10" ht="40" customHeight="1">
      <c r="B74" s="50"/>
      <c r="C74" s="51"/>
      <c r="D74" s="40" t="s">
        <v>128</v>
      </c>
      <c r="E74" s="48" t="s">
        <v>129</v>
      </c>
      <c r="F74" s="48"/>
      <c r="G74" s="44"/>
      <c r="H74" s="44"/>
      <c r="I74" s="45" t="s">
        <v>130</v>
      </c>
      <c r="J74" s="56"/>
    </row>
    <row r="75" spans="2:10" ht="40" customHeight="1">
      <c r="B75" s="50"/>
      <c r="C75" s="51"/>
      <c r="D75" s="40"/>
      <c r="E75" s="48" t="s">
        <v>131</v>
      </c>
      <c r="F75" s="48"/>
      <c r="G75" s="44"/>
      <c r="H75" s="44"/>
      <c r="I75" s="45"/>
      <c r="J75" s="56"/>
    </row>
    <row r="76" spans="2:10" ht="40" customHeight="1">
      <c r="B76" s="50"/>
      <c r="C76" s="52" t="s">
        <v>132</v>
      </c>
      <c r="D76" s="42" t="s">
        <v>133</v>
      </c>
      <c r="E76" s="37" t="s">
        <v>134</v>
      </c>
      <c r="F76" s="37"/>
      <c r="G76" s="5" t="s">
        <v>119</v>
      </c>
      <c r="H76" s="54" t="s">
        <v>135</v>
      </c>
      <c r="I76" s="12" t="s">
        <v>136</v>
      </c>
      <c r="J76" s="37" t="s">
        <v>30</v>
      </c>
    </row>
    <row r="77" spans="2:10" ht="40" customHeight="1">
      <c r="B77" s="50"/>
      <c r="C77" s="52"/>
      <c r="D77" s="42"/>
      <c r="E77" s="37" t="s">
        <v>137</v>
      </c>
      <c r="F77" s="37"/>
      <c r="G77" s="5" t="s">
        <v>138</v>
      </c>
      <c r="H77" s="54"/>
      <c r="I77" s="11" t="s">
        <v>139</v>
      </c>
      <c r="J77" s="37"/>
    </row>
    <row r="78" spans="2:10" ht="158" customHeight="1">
      <c r="B78" s="50"/>
      <c r="C78" s="52"/>
      <c r="D78" s="42"/>
      <c r="E78" s="37" t="s">
        <v>140</v>
      </c>
      <c r="F78" s="37"/>
      <c r="G78" s="5" t="s">
        <v>119</v>
      </c>
      <c r="H78" s="54"/>
      <c r="I78" s="11" t="s">
        <v>141</v>
      </c>
      <c r="J78" s="37"/>
    </row>
    <row r="79" spans="2:10" ht="120" customHeight="1">
      <c r="B79" s="50"/>
      <c r="C79" s="52"/>
      <c r="D79" s="46" t="s">
        <v>142</v>
      </c>
      <c r="E79" s="37" t="s">
        <v>143</v>
      </c>
      <c r="F79" s="37"/>
      <c r="G79" s="5" t="s">
        <v>144</v>
      </c>
      <c r="H79" s="54"/>
      <c r="I79" s="11" t="s">
        <v>145</v>
      </c>
      <c r="J79" s="37" t="s">
        <v>30</v>
      </c>
    </row>
    <row r="80" spans="2:10" ht="80" customHeight="1">
      <c r="B80" s="50"/>
      <c r="C80" s="52"/>
      <c r="D80" s="46"/>
      <c r="E80" s="37" t="s">
        <v>146</v>
      </c>
      <c r="F80" s="37"/>
      <c r="G80" s="5" t="s">
        <v>147</v>
      </c>
      <c r="H80" s="54"/>
      <c r="I80" s="11" t="s">
        <v>148</v>
      </c>
      <c r="J80" s="37"/>
    </row>
    <row r="81" spans="2:10" ht="40" customHeight="1">
      <c r="B81" s="50"/>
      <c r="C81" s="53" t="s">
        <v>149</v>
      </c>
      <c r="D81" s="42" t="s">
        <v>133</v>
      </c>
      <c r="E81" s="46" t="s">
        <v>134</v>
      </c>
      <c r="F81" s="46"/>
      <c r="G81" s="8" t="s">
        <v>119</v>
      </c>
      <c r="H81" s="46" t="s">
        <v>150</v>
      </c>
      <c r="I81" s="25" t="s">
        <v>136</v>
      </c>
      <c r="J81" s="57" t="s">
        <v>30</v>
      </c>
    </row>
    <row r="82" spans="2:10" ht="118" customHeight="1">
      <c r="B82" s="50"/>
      <c r="C82" s="53"/>
      <c r="D82" s="42"/>
      <c r="E82" s="46" t="s">
        <v>137</v>
      </c>
      <c r="F82" s="46"/>
      <c r="G82" s="8" t="s">
        <v>138</v>
      </c>
      <c r="H82" s="46"/>
      <c r="I82" s="25" t="s">
        <v>139</v>
      </c>
      <c r="J82" s="57"/>
    </row>
    <row r="83" spans="2:10" ht="162" customHeight="1">
      <c r="B83" s="50"/>
      <c r="C83" s="53"/>
      <c r="D83" s="42"/>
      <c r="E83" s="46" t="s">
        <v>140</v>
      </c>
      <c r="F83" s="46"/>
      <c r="G83" s="8" t="s">
        <v>119</v>
      </c>
      <c r="H83" s="46"/>
      <c r="I83" s="25" t="s">
        <v>141</v>
      </c>
      <c r="J83" s="57"/>
    </row>
    <row r="84" spans="2:10" ht="98" customHeight="1">
      <c r="B84" s="50"/>
      <c r="C84" s="53"/>
      <c r="D84" s="46" t="s">
        <v>142</v>
      </c>
      <c r="E84" s="46" t="s">
        <v>143</v>
      </c>
      <c r="F84" s="46"/>
      <c r="G84" s="8" t="s">
        <v>144</v>
      </c>
      <c r="H84" s="46"/>
      <c r="I84" s="25" t="s">
        <v>145</v>
      </c>
      <c r="J84" s="57"/>
    </row>
    <row r="85" spans="2:10" ht="98" customHeight="1">
      <c r="B85" s="50"/>
      <c r="C85" s="53"/>
      <c r="D85" s="46"/>
      <c r="E85" s="46" t="s">
        <v>151</v>
      </c>
      <c r="F85" s="46"/>
      <c r="G85" s="8" t="s">
        <v>147</v>
      </c>
      <c r="H85" s="46"/>
      <c r="I85" s="25" t="s">
        <v>148</v>
      </c>
      <c r="J85" s="57"/>
    </row>
    <row r="86" spans="2:10" ht="98" customHeight="1">
      <c r="B86" s="50"/>
      <c r="C86" s="53"/>
      <c r="D86" s="22" t="s">
        <v>152</v>
      </c>
      <c r="E86" s="46" t="s">
        <v>153</v>
      </c>
      <c r="F86" s="46"/>
      <c r="G86" s="8" t="s">
        <v>147</v>
      </c>
      <c r="H86" s="46"/>
      <c r="I86" s="25" t="s">
        <v>154</v>
      </c>
      <c r="J86" s="57"/>
    </row>
    <row r="90" spans="2:10" ht="23">
      <c r="B90" s="77" t="s">
        <v>201</v>
      </c>
      <c r="C90" s="78"/>
      <c r="D90" s="78"/>
      <c r="E90" s="78"/>
      <c r="F90" s="79"/>
    </row>
    <row r="91" spans="2:10" ht="18">
      <c r="B91" s="69" t="s">
        <v>202</v>
      </c>
      <c r="C91" s="70"/>
      <c r="D91" s="71" t="s">
        <v>203</v>
      </c>
      <c r="E91" s="71" t="s">
        <v>204</v>
      </c>
      <c r="F91" s="71" t="s">
        <v>205</v>
      </c>
    </row>
    <row r="92" spans="2:10" ht="18">
      <c r="B92" s="72" t="s">
        <v>206</v>
      </c>
      <c r="C92" s="73"/>
      <c r="D92" s="74" t="s">
        <v>210</v>
      </c>
      <c r="E92" s="74">
        <v>618</v>
      </c>
      <c r="F92" s="74" t="s">
        <v>207</v>
      </c>
    </row>
    <row r="93" spans="2:10" ht="18">
      <c r="B93" s="75"/>
      <c r="C93" s="76"/>
      <c r="D93" s="74" t="s">
        <v>211</v>
      </c>
      <c r="E93" s="74" t="s">
        <v>208</v>
      </c>
      <c r="F93" s="74" t="s">
        <v>209</v>
      </c>
    </row>
  </sheetData>
  <mergeCells count="154">
    <mergeCell ref="B91:C91"/>
    <mergeCell ref="B92:C93"/>
    <mergeCell ref="J44:J50"/>
    <mergeCell ref="J51:J53"/>
    <mergeCell ref="J70:J75"/>
    <mergeCell ref="J76:J78"/>
    <mergeCell ref="J79:J80"/>
    <mergeCell ref="J81:J86"/>
    <mergeCell ref="B26:D28"/>
    <mergeCell ref="B29:D31"/>
    <mergeCell ref="B90:F90"/>
    <mergeCell ref="D79:D80"/>
    <mergeCell ref="D81:D83"/>
    <mergeCell ref="D84:D85"/>
    <mergeCell ref="G70:G75"/>
    <mergeCell ref="H70:H75"/>
    <mergeCell ref="H76:H80"/>
    <mergeCell ref="H81:H86"/>
    <mergeCell ref="I10:I11"/>
    <mergeCell ref="I13:I14"/>
    <mergeCell ref="I15:I16"/>
    <mergeCell ref="I17:I18"/>
    <mergeCell ref="I19:I20"/>
    <mergeCell ref="I21:I22"/>
    <mergeCell ref="I41:I43"/>
    <mergeCell ref="I44:I50"/>
    <mergeCell ref="I51:I53"/>
    <mergeCell ref="I70:I71"/>
    <mergeCell ref="I72:I73"/>
    <mergeCell ref="I74:I75"/>
    <mergeCell ref="E86:F86"/>
    <mergeCell ref="B10:B22"/>
    <mergeCell ref="B41:B61"/>
    <mergeCell ref="B70:B86"/>
    <mergeCell ref="C10:C14"/>
    <mergeCell ref="C15:C18"/>
    <mergeCell ref="C19:C22"/>
    <mergeCell ref="C41:C43"/>
    <mergeCell ref="C44:C50"/>
    <mergeCell ref="C51:C53"/>
    <mergeCell ref="C54:C61"/>
    <mergeCell ref="C70:C75"/>
    <mergeCell ref="C76:C80"/>
    <mergeCell ref="C81:C86"/>
    <mergeCell ref="D10:D12"/>
    <mergeCell ref="D13:D14"/>
    <mergeCell ref="D15:D16"/>
    <mergeCell ref="D17:D18"/>
    <mergeCell ref="D19:D20"/>
    <mergeCell ref="D21:D22"/>
    <mergeCell ref="D70:D71"/>
    <mergeCell ref="D72:D73"/>
    <mergeCell ref="D74:D75"/>
    <mergeCell ref="D76:D78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B68:J68"/>
    <mergeCell ref="D69:F69"/>
    <mergeCell ref="E70:F70"/>
    <mergeCell ref="E71:F71"/>
    <mergeCell ref="E72:F72"/>
    <mergeCell ref="E73:F73"/>
    <mergeCell ref="E74:F74"/>
    <mergeCell ref="E75:F75"/>
    <mergeCell ref="E76:F76"/>
    <mergeCell ref="D59:E59"/>
    <mergeCell ref="F59:G59"/>
    <mergeCell ref="I59:J59"/>
    <mergeCell ref="D60:E60"/>
    <mergeCell ref="F60:G60"/>
    <mergeCell ref="I60:J60"/>
    <mergeCell ref="D61:E61"/>
    <mergeCell ref="F61:G61"/>
    <mergeCell ref="I61:J61"/>
    <mergeCell ref="D56:E56"/>
    <mergeCell ref="F56:G56"/>
    <mergeCell ref="I56:J56"/>
    <mergeCell ref="D57:E57"/>
    <mergeCell ref="F57:G57"/>
    <mergeCell ref="I57:J57"/>
    <mergeCell ref="D58:E58"/>
    <mergeCell ref="F58:G58"/>
    <mergeCell ref="I58:J58"/>
    <mergeCell ref="D52:E52"/>
    <mergeCell ref="F52:G52"/>
    <mergeCell ref="D53:E53"/>
    <mergeCell ref="F53:G53"/>
    <mergeCell ref="D54:E54"/>
    <mergeCell ref="F54:G54"/>
    <mergeCell ref="I54:J54"/>
    <mergeCell ref="D55:E55"/>
    <mergeCell ref="F55:G55"/>
    <mergeCell ref="I55:J55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E30:J30"/>
    <mergeCell ref="E31:J31"/>
    <mergeCell ref="B32:D32"/>
    <mergeCell ref="E32:J32"/>
    <mergeCell ref="B39:J39"/>
    <mergeCell ref="C40:E40"/>
    <mergeCell ref="F40:G40"/>
    <mergeCell ref="D41:E41"/>
    <mergeCell ref="F41:G41"/>
    <mergeCell ref="J41:J43"/>
    <mergeCell ref="B8:J8"/>
    <mergeCell ref="C9:E9"/>
    <mergeCell ref="B23:J23"/>
    <mergeCell ref="B25:D25"/>
    <mergeCell ref="E25:J25"/>
    <mergeCell ref="E26:J26"/>
    <mergeCell ref="E27:J27"/>
    <mergeCell ref="E28:J28"/>
    <mergeCell ref="E29:J29"/>
    <mergeCell ref="J10:J12"/>
    <mergeCell ref="J13:J14"/>
    <mergeCell ref="J15:J16"/>
    <mergeCell ref="J17:J18"/>
    <mergeCell ref="J19:J20"/>
    <mergeCell ref="J21:J22"/>
    <mergeCell ref="B1:J1"/>
    <mergeCell ref="B3:D3"/>
    <mergeCell ref="E3:J3"/>
    <mergeCell ref="B4:D4"/>
    <mergeCell ref="E4:J4"/>
    <mergeCell ref="B5:D5"/>
    <mergeCell ref="E5:J5"/>
    <mergeCell ref="B6:D6"/>
    <mergeCell ref="E6:J6"/>
  </mergeCells>
  <phoneticPr fontId="17" type="noConversion"/>
  <pageMargins left="0.69930555555555596" right="0.69930555555555596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2"/>
  <sheetViews>
    <sheetView zoomScale="80" zoomScaleNormal="80" workbookViewId="0">
      <pane ySplit="1" topLeftCell="A21" activePane="bottomLeft" state="frozen"/>
      <selection pane="bottomLeft" activeCell="H27" sqref="H27"/>
    </sheetView>
  </sheetViews>
  <sheetFormatPr baseColWidth="10" defaultColWidth="10.83203125" defaultRowHeight="18"/>
  <cols>
    <col min="1" max="1" width="2.5" style="2" customWidth="1"/>
    <col min="2" max="2" width="10.83203125" style="3"/>
    <col min="3" max="3" width="16.6640625" style="3" customWidth="1"/>
    <col min="4" max="4" width="14.5" style="3" customWidth="1"/>
    <col min="5" max="5" width="14.33203125" style="3" customWidth="1"/>
    <col min="6" max="7" width="21.5" style="3" customWidth="1"/>
    <col min="8" max="8" width="40.1640625" style="3" customWidth="1"/>
    <col min="9" max="9" width="58.1640625" style="3" customWidth="1"/>
    <col min="10" max="16384" width="10.83203125" style="2"/>
  </cols>
  <sheetData>
    <row r="1" spans="2:9" ht="71" customHeight="1">
      <c r="B1" s="58" t="s">
        <v>0</v>
      </c>
      <c r="C1" s="58"/>
      <c r="D1" s="58"/>
      <c r="E1" s="58"/>
      <c r="F1" s="58"/>
      <c r="G1" s="58"/>
      <c r="H1" s="58"/>
      <c r="I1" s="58"/>
    </row>
    <row r="2" spans="2:9" s="1" customFormat="1" ht="40" customHeight="1">
      <c r="B2" s="59" t="s">
        <v>155</v>
      </c>
      <c r="C2" s="59"/>
      <c r="D2" s="59"/>
      <c r="E2" s="59"/>
      <c r="F2" s="59"/>
      <c r="G2" s="59"/>
      <c r="H2" s="59"/>
      <c r="I2" s="59"/>
    </row>
    <row r="3" spans="2:9" ht="19">
      <c r="B3" s="4" t="s">
        <v>10</v>
      </c>
      <c r="C3" s="29" t="s">
        <v>51</v>
      </c>
      <c r="D3" s="29"/>
      <c r="E3" s="29"/>
      <c r="F3" s="7" t="s">
        <v>12</v>
      </c>
      <c r="G3" s="4" t="s">
        <v>14</v>
      </c>
      <c r="H3" s="4" t="s">
        <v>116</v>
      </c>
      <c r="I3" s="4" t="s">
        <v>52</v>
      </c>
    </row>
    <row r="4" spans="2:9" ht="55" customHeight="1">
      <c r="B4" s="64" t="s">
        <v>156</v>
      </c>
      <c r="C4" s="37" t="s">
        <v>157</v>
      </c>
      <c r="D4" s="40" t="s">
        <v>158</v>
      </c>
      <c r="E4" s="8" t="s">
        <v>159</v>
      </c>
      <c r="F4" s="9" t="s">
        <v>160</v>
      </c>
      <c r="G4" s="5" t="s">
        <v>21</v>
      </c>
      <c r="H4" s="45" t="s">
        <v>161</v>
      </c>
      <c r="I4" s="55" t="s">
        <v>162</v>
      </c>
    </row>
    <row r="5" spans="2:9" ht="55" customHeight="1">
      <c r="B5" s="65"/>
      <c r="C5" s="37"/>
      <c r="D5" s="40"/>
      <c r="E5" s="5" t="s">
        <v>163</v>
      </c>
      <c r="F5" s="10" t="s">
        <v>164</v>
      </c>
      <c r="G5" s="5" t="s">
        <v>21</v>
      </c>
      <c r="H5" s="45"/>
      <c r="I5" s="55"/>
    </row>
    <row r="6" spans="2:9" ht="55" customHeight="1">
      <c r="B6" s="65"/>
      <c r="C6" s="37"/>
      <c r="D6" s="40" t="s">
        <v>17</v>
      </c>
      <c r="E6" s="8" t="s">
        <v>159</v>
      </c>
      <c r="F6" s="10" t="s">
        <v>165</v>
      </c>
      <c r="G6" s="5" t="s">
        <v>58</v>
      </c>
      <c r="H6" s="45" t="s">
        <v>166</v>
      </c>
      <c r="I6" s="55"/>
    </row>
    <row r="7" spans="2:9" ht="55" customHeight="1">
      <c r="B7" s="65"/>
      <c r="C7" s="37"/>
      <c r="D7" s="40"/>
      <c r="E7" s="5" t="s">
        <v>163</v>
      </c>
      <c r="F7" s="10" t="s">
        <v>167</v>
      </c>
      <c r="G7" s="5" t="s">
        <v>58</v>
      </c>
      <c r="H7" s="45"/>
      <c r="I7" s="55"/>
    </row>
    <row r="8" spans="2:9" ht="55" customHeight="1">
      <c r="B8" s="65"/>
      <c r="C8" s="37"/>
      <c r="D8" s="40" t="s">
        <v>168</v>
      </c>
      <c r="E8" s="8" t="s">
        <v>159</v>
      </c>
      <c r="F8" s="10" t="s">
        <v>169</v>
      </c>
      <c r="G8" s="5" t="s">
        <v>58</v>
      </c>
      <c r="H8" s="45" t="s">
        <v>170</v>
      </c>
      <c r="I8" s="55"/>
    </row>
    <row r="9" spans="2:9" ht="55" customHeight="1">
      <c r="B9" s="65"/>
      <c r="C9" s="37"/>
      <c r="D9" s="40"/>
      <c r="E9" s="5" t="s">
        <v>163</v>
      </c>
      <c r="F9" s="10" t="s">
        <v>171</v>
      </c>
      <c r="G9" s="5" t="s">
        <v>58</v>
      </c>
      <c r="H9" s="45"/>
      <c r="I9" s="55"/>
    </row>
    <row r="10" spans="2:9" ht="40" customHeight="1">
      <c r="B10" s="65"/>
      <c r="C10" s="40" t="s">
        <v>172</v>
      </c>
      <c r="D10" s="5" t="s">
        <v>173</v>
      </c>
      <c r="E10" s="5" t="s">
        <v>174</v>
      </c>
      <c r="F10" s="10" t="s">
        <v>30</v>
      </c>
      <c r="G10" s="5" t="s">
        <v>37</v>
      </c>
      <c r="H10" s="68" t="s">
        <v>175</v>
      </c>
      <c r="I10" s="11" t="s">
        <v>176</v>
      </c>
    </row>
    <row r="11" spans="2:9" ht="40" customHeight="1">
      <c r="B11" s="65"/>
      <c r="C11" s="40"/>
      <c r="D11" s="5" t="s">
        <v>177</v>
      </c>
      <c r="E11" s="5" t="s">
        <v>178</v>
      </c>
      <c r="F11" s="9" t="s">
        <v>179</v>
      </c>
      <c r="G11" s="5" t="s">
        <v>37</v>
      </c>
      <c r="H11" s="68"/>
      <c r="I11" s="12" t="s">
        <v>180</v>
      </c>
    </row>
    <row r="12" spans="2:9" ht="40" customHeight="1">
      <c r="B12" s="65"/>
      <c r="C12" s="40" t="s">
        <v>181</v>
      </c>
      <c r="D12" s="40" t="s">
        <v>182</v>
      </c>
      <c r="E12" s="5" t="s">
        <v>183</v>
      </c>
      <c r="F12" s="10" t="s">
        <v>30</v>
      </c>
      <c r="G12" s="5" t="s">
        <v>37</v>
      </c>
      <c r="H12" s="68" t="s">
        <v>175</v>
      </c>
      <c r="I12" s="11" t="s">
        <v>176</v>
      </c>
    </row>
    <row r="13" spans="2:9" ht="40" customHeight="1">
      <c r="B13" s="65"/>
      <c r="C13" s="40"/>
      <c r="D13" s="40"/>
      <c r="E13" s="5" t="s">
        <v>184</v>
      </c>
      <c r="F13" s="9" t="s">
        <v>185</v>
      </c>
      <c r="G13" s="5" t="s">
        <v>37</v>
      </c>
      <c r="H13" s="68"/>
      <c r="I13" s="12" t="s">
        <v>180</v>
      </c>
    </row>
    <row r="14" spans="2:9" ht="40" customHeight="1">
      <c r="B14" s="65"/>
      <c r="C14" s="40"/>
      <c r="D14" s="5" t="s">
        <v>186</v>
      </c>
      <c r="E14" s="5" t="s">
        <v>187</v>
      </c>
      <c r="F14" s="9" t="s">
        <v>169</v>
      </c>
      <c r="G14" s="5" t="s">
        <v>188</v>
      </c>
      <c r="H14" s="68"/>
      <c r="I14" s="11" t="s">
        <v>176</v>
      </c>
    </row>
    <row r="15" spans="2:9" ht="66" customHeight="1">
      <c r="B15" s="60" t="s">
        <v>189</v>
      </c>
      <c r="C15" s="61"/>
      <c r="D15" s="61"/>
      <c r="E15" s="61"/>
      <c r="F15" s="61"/>
      <c r="G15" s="61"/>
      <c r="H15" s="61"/>
      <c r="I15" s="61"/>
    </row>
    <row r="18" spans="2:9" ht="40" customHeight="1">
      <c r="B18" s="59" t="s">
        <v>190</v>
      </c>
      <c r="C18" s="59"/>
      <c r="D18" s="59"/>
      <c r="E18" s="59"/>
      <c r="F18" s="59"/>
      <c r="G18" s="59"/>
      <c r="H18" s="59"/>
      <c r="I18" s="59"/>
    </row>
    <row r="19" spans="2:9" ht="19">
      <c r="B19" s="4" t="s">
        <v>10</v>
      </c>
      <c r="C19" s="29" t="s">
        <v>191</v>
      </c>
      <c r="D19" s="29"/>
      <c r="E19" s="4" t="s">
        <v>192</v>
      </c>
      <c r="F19" s="7" t="s">
        <v>14</v>
      </c>
      <c r="G19" s="7" t="s">
        <v>12</v>
      </c>
      <c r="H19" s="29" t="s">
        <v>52</v>
      </c>
      <c r="I19" s="29"/>
    </row>
    <row r="20" spans="2:9" ht="74" customHeight="1">
      <c r="B20" s="66" t="s">
        <v>193</v>
      </c>
      <c r="C20" s="62" t="s">
        <v>194</v>
      </c>
      <c r="D20" s="62"/>
      <c r="E20" s="6">
        <v>3</v>
      </c>
      <c r="F20" s="6" t="s">
        <v>195</v>
      </c>
      <c r="G20" s="67">
        <v>100000</v>
      </c>
      <c r="H20" s="63" t="s">
        <v>196</v>
      </c>
      <c r="I20" s="63"/>
    </row>
    <row r="21" spans="2:9" ht="214" customHeight="1">
      <c r="B21" s="66"/>
      <c r="C21" s="62" t="s">
        <v>197</v>
      </c>
      <c r="D21" s="62"/>
      <c r="E21" s="6">
        <v>1</v>
      </c>
      <c r="F21" s="6" t="s">
        <v>96</v>
      </c>
      <c r="G21" s="67"/>
      <c r="H21" s="63" t="s">
        <v>198</v>
      </c>
      <c r="I21" s="63"/>
    </row>
    <row r="22" spans="2:9" ht="69" customHeight="1">
      <c r="B22" s="60" t="s">
        <v>199</v>
      </c>
      <c r="C22" s="60"/>
      <c r="D22" s="60"/>
      <c r="E22" s="60"/>
      <c r="F22" s="60"/>
      <c r="G22" s="60"/>
      <c r="H22" s="60"/>
      <c r="I22" s="60"/>
    </row>
  </sheetData>
  <mergeCells count="28">
    <mergeCell ref="B22:I22"/>
    <mergeCell ref="B4:B14"/>
    <mergeCell ref="B20:B21"/>
    <mergeCell ref="C4:C9"/>
    <mergeCell ref="C10:C11"/>
    <mergeCell ref="C12:C14"/>
    <mergeCell ref="D4:D5"/>
    <mergeCell ref="D6:D7"/>
    <mergeCell ref="D8:D9"/>
    <mergeCell ref="D12:D13"/>
    <mergeCell ref="G20:G21"/>
    <mergeCell ref="H4:H5"/>
    <mergeCell ref="H6:H7"/>
    <mergeCell ref="H8:H9"/>
    <mergeCell ref="H10:H11"/>
    <mergeCell ref="H12:H14"/>
    <mergeCell ref="C19:D19"/>
    <mergeCell ref="H19:I19"/>
    <mergeCell ref="C20:D20"/>
    <mergeCell ref="H20:I20"/>
    <mergeCell ref="C21:D21"/>
    <mergeCell ref="H21:I21"/>
    <mergeCell ref="B1:I1"/>
    <mergeCell ref="B2:I2"/>
    <mergeCell ref="C3:E3"/>
    <mergeCell ref="B15:I15"/>
    <mergeCell ref="B18:I18"/>
    <mergeCell ref="I4:I9"/>
  </mergeCells>
  <phoneticPr fontId="17" type="noConversion"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渠道合作</vt:lpstr>
      <vt:lpstr>专家合作</vt:lpstr>
    </vt:vector>
  </TitlesOfParts>
  <Company>DXY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 Bian</dc:creator>
  <cp:lastModifiedBy>Microsoft Office User</cp:lastModifiedBy>
  <dcterms:created xsi:type="dcterms:W3CDTF">2016-10-23T13:25:00Z</dcterms:created>
  <dcterms:modified xsi:type="dcterms:W3CDTF">2023-01-09T09:32:18Z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2052-3.9.2.6301</vt:lpwstr>
  </property>
</Properties>
</file>